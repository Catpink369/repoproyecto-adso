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-QA-13 Dashboard" sheetId="1" r:id="rId4"/>
    <sheet state="visible" name="Datos CP" sheetId="2" r:id="rId5"/>
    <sheet state="visible" name="Bugs" sheetId="3" r:id="rId6"/>
  </sheets>
  <definedNames/>
  <calcPr/>
  <extLst>
    <ext uri="GoogleSheetsCustomDataVersion2">
      <go:sheetsCustomData xmlns:go="http://customooxmlschemas.google.com/" r:id="rId7" roundtripDataChecksum="EBeKFlyJspZgjedYQ4rhBy255RZ6ayKz/OOWNt5wXT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6">
      <text>
        <t xml:space="preserve">======
ID#AAACFyDGtQw
camila mahecha    (2026-08-19 19:30:33)
CP-012(todo)</t>
      </text>
    </comment>
    <comment authorId="0" ref="E31">
      <text>
        <t xml:space="preserve">======
ID#AAACFyDGtQ0
camila mahecha    (2026-08-19 19:31:15)
CP-006(todo)</t>
      </text>
    </comment>
    <comment authorId="0" ref="G31">
      <text>
        <t xml:space="preserve">======
ID#AAACFyDGtQs
camila mahecha    (2026-08-19 19:29:32)
CP-006 (todo)</t>
      </text>
    </comment>
  </commentList>
  <extLst>
    <ext uri="GoogleSheetsCustomDataVersion2">
      <go:sheetsCustomData xmlns:go="http://customooxmlschemas.google.com/" r:id="rId1" roundtripDataSignature="AMtx7mi+J/N1xbBsyb7Km/iYwmH4beXnqQ=="/>
    </ext>
  </extLst>
</comments>
</file>

<file path=xl/sharedStrings.xml><?xml version="1.0" encoding="utf-8"?>
<sst xmlns="http://schemas.openxmlformats.org/spreadsheetml/2006/main" count="135" uniqueCount="86">
  <si>
    <t>EP</t>
  </si>
  <si>
    <t>RF</t>
  </si>
  <si>
    <t>Prioridad</t>
  </si>
  <si>
    <t>Total CP</t>
  </si>
  <si>
    <t>Unitaria - Ejecutados</t>
  </si>
  <si>
    <t>Unitaria - Pasan</t>
  </si>
  <si>
    <t>Integracion - Ejecutados</t>
  </si>
  <si>
    <t>RF Completos (documentacion)</t>
  </si>
  <si>
    <t>Integracion - Pasan</t>
  </si>
  <si>
    <t>Severidad</t>
  </si>
  <si>
    <t>Manual - Ejecutados</t>
  </si>
  <si>
    <t>Manual - Pasan</t>
  </si>
  <si>
    <t>Cantidad Abiertos</t>
  </si>
  <si>
    <t>Alta</t>
  </si>
  <si>
    <t>Media</t>
  </si>
  <si>
    <t>EP-001</t>
  </si>
  <si>
    <t>Total CP definidos</t>
  </si>
  <si>
    <t>Baja</t>
  </si>
  <si>
    <t>TOTAL</t>
  </si>
  <si>
    <t>Bugs abiertos</t>
  </si>
  <si>
    <t>RF-001.1</t>
  </si>
  <si>
    <t>RF-001.2</t>
  </si>
  <si>
    <t>RF-001.3</t>
  </si>
  <si>
    <t>RF-001.4</t>
  </si>
  <si>
    <t>RF-001.5</t>
  </si>
  <si>
    <t>RF-001.6</t>
  </si>
  <si>
    <t>RF-001.7</t>
  </si>
  <si>
    <t>Informe Checklist</t>
  </si>
  <si>
    <t>RF-001.8</t>
  </si>
  <si>
    <t>Checklist QA</t>
  </si>
  <si>
    <t>EP-002</t>
  </si>
  <si>
    <t>Reporte de Bugs</t>
  </si>
  <si>
    <t>RF-002.1</t>
  </si>
  <si>
    <t>Avance de Ejecucion por Tipo de Prueba</t>
  </si>
  <si>
    <t>RF-002.2</t>
  </si>
  <si>
    <t>Tipo de Prueba</t>
  </si>
  <si>
    <t>RF-002.3</t>
  </si>
  <si>
    <t>CP Ejecutados</t>
  </si>
  <si>
    <t>% Ejecutado</t>
  </si>
  <si>
    <t>CP Aprobados</t>
  </si>
  <si>
    <t>% Aprobados (de ejecutados)</t>
  </si>
  <si>
    <t>RF-002.4</t>
  </si>
  <si>
    <t>Unitaria</t>
  </si>
  <si>
    <t>RF-002.5</t>
  </si>
  <si>
    <t>EP-003</t>
  </si>
  <si>
    <t>RF-003.1</t>
  </si>
  <si>
    <t>RF-003.2</t>
  </si>
  <si>
    <t>RF-003.3</t>
  </si>
  <si>
    <t>RF-003.4</t>
  </si>
  <si>
    <t>EP-004</t>
  </si>
  <si>
    <t>RF-004.1</t>
  </si>
  <si>
    <t>RF-004.2</t>
  </si>
  <si>
    <t>RF-004.3</t>
  </si>
  <si>
    <t>RF-004.4</t>
  </si>
  <si>
    <t>EP-005</t>
  </si>
  <si>
    <t>RF-005.1</t>
  </si>
  <si>
    <t>Integracion</t>
  </si>
  <si>
    <t>RF-005.2</t>
  </si>
  <si>
    <t>EP-006</t>
  </si>
  <si>
    <t>RF-006.1</t>
  </si>
  <si>
    <t>Manual</t>
  </si>
  <si>
    <t>RF-006.2</t>
  </si>
  <si>
    <t>RF-006.3</t>
  </si>
  <si>
    <t>RF-006.4</t>
  </si>
  <si>
    <t>RF-006.5</t>
  </si>
  <si>
    <t>EP-007</t>
  </si>
  <si>
    <t>Avance de Ejecucion por Prioridad (vs. Meta del Plan Maestro)</t>
  </si>
  <si>
    <t>RF-007.1</t>
  </si>
  <si>
    <t>Meta</t>
  </si>
  <si>
    <t>Unitaria %</t>
  </si>
  <si>
    <t>Integracion %</t>
  </si>
  <si>
    <t>RF-007.2</t>
  </si>
  <si>
    <t>Manual %</t>
  </si>
  <si>
    <t>Cumple Meta</t>
  </si>
  <si>
    <t>RF-007.3</t>
  </si>
  <si>
    <t>EP-008</t>
  </si>
  <si>
    <t>RF-008.1</t>
  </si>
  <si>
    <t>RF-008.2</t>
  </si>
  <si>
    <t>RF-008.3</t>
  </si>
  <si>
    <t>RF-008.4</t>
  </si>
  <si>
    <t>EP-009</t>
  </si>
  <si>
    <t>RF-009.1</t>
  </si>
  <si>
    <t>RF-009.2</t>
  </si>
  <si>
    <t>RF-009.3</t>
  </si>
  <si>
    <t>Bugs Abiertos por Severidad</t>
  </si>
  <si>
    <t>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</si>
</sst>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1.0"/>
      <color theme="1"/>
      <name val="Calibri"/>
      <scheme val="minor"/>
    </font>
    <font>
      <b/>
      <sz val="12.0"/>
      <color rgb="FF2F5597"/>
      <name val="Arial"/>
    </font>
    <font>
      <b/>
      <sz val="16.0"/>
      <color rgb="FF2F5597"/>
      <name val="Arial"/>
    </font>
    <font>
      <b/>
      <sz val="10.0"/>
      <color rgb="FFFFFFFF"/>
      <name val="Arial"/>
    </font>
    <font>
      <i/>
      <sz val="9.0"/>
      <color rgb="FF666666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FFFFFF"/>
      <name val="Arial"/>
    </font>
    <font/>
    <font>
      <color rgb="FF666666"/>
      <name val="Calibri"/>
      <scheme val="minor"/>
    </font>
    <font>
      <b/>
      <sz val="14.0"/>
      <color rgb="FF000000"/>
      <name val="Arial"/>
    </font>
    <font>
      <color rgb="FF000000"/>
      <name val="Calibri"/>
      <scheme val="minor"/>
    </font>
    <font>
      <b/>
      <sz val="12.0"/>
      <color theme="1"/>
      <name val="Arial"/>
    </font>
    <font>
      <b/>
      <sz val="12.0"/>
      <color rgb="FF000000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</fills>
  <borders count="7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bottom" wrapText="0"/>
    </xf>
    <xf borderId="3" fillId="0" fontId="8" numFmtId="0" xfId="0" applyBorder="1" applyFont="1"/>
    <xf borderId="0" fillId="0" fontId="5" numFmtId="0" xfId="0" applyAlignment="1" applyFont="1">
      <alignment shrinkToFit="0" vertical="bottom" wrapText="0"/>
    </xf>
    <xf borderId="4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center" wrapText="0"/>
    </xf>
    <xf borderId="2" fillId="0" fontId="10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0" fillId="0" fontId="11" numFmtId="0" xfId="0" applyFont="1"/>
    <xf borderId="6" fillId="0" fontId="8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3" numFmtId="0" xfId="0" applyAlignment="1" applyFont="1">
      <alignment shrinkToFit="0" vertical="bottom" wrapText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left" readingOrder="0"/>
    </xf>
    <xf borderId="0" fillId="0" fontId="14" numFmtId="0" xfId="0" applyAlignment="1" applyFont="1">
      <alignment horizontal="center"/>
    </xf>
    <xf borderId="0" fillId="0" fontId="5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3" width="12.0"/>
    <col customWidth="1" min="4" max="4" width="13.0"/>
    <col customWidth="1" min="5" max="7" width="14.0"/>
    <col customWidth="1" min="8" max="8" width="13.0"/>
    <col customWidth="1" min="9" max="26" width="8.71"/>
  </cols>
  <sheetData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2"/>
      <c r="C3" s="2"/>
      <c r="D3" s="2"/>
      <c r="E3" s="2"/>
      <c r="F3" s="2"/>
      <c r="G3" s="2"/>
      <c r="H3" s="2"/>
      <c r="I3" s="2"/>
      <c r="J3" s="2"/>
    </row>
    <row r="5" ht="15.0" customHeight="1">
      <c r="B5" s="5" t="s">
        <v>7</v>
      </c>
      <c r="C5" s="9"/>
      <c r="E5" s="5" t="s">
        <v>16</v>
      </c>
      <c r="F5" s="9"/>
      <c r="H5" s="5" t="s">
        <v>19</v>
      </c>
      <c r="I5" s="9"/>
    </row>
    <row r="6">
      <c r="B6" s="15" t="str">
        <f>"38 / 38 (100%)"</f>
        <v>38 / 38 (100%)</v>
      </c>
      <c r="C6" s="9"/>
      <c r="D6" s="17"/>
      <c r="E6" s="15">
        <f>'Datos CP'!D40</f>
        <v>169</v>
      </c>
      <c r="F6" s="9"/>
      <c r="G6" s="17"/>
      <c r="H6" s="15">
        <f>Bugs!B8</f>
        <v>14</v>
      </c>
      <c r="I6" s="9"/>
    </row>
    <row r="7" ht="15.0" customHeight="1">
      <c r="B7" s="19" t="s">
        <v>27</v>
      </c>
      <c r="C7" s="9"/>
      <c r="E7" s="19" t="s">
        <v>29</v>
      </c>
      <c r="F7" s="9"/>
      <c r="H7" s="20" t="s">
        <v>31</v>
      </c>
      <c r="I7" s="9"/>
    </row>
    <row r="10">
      <c r="B10" s="21" t="s">
        <v>33</v>
      </c>
    </row>
    <row r="11">
      <c r="B11" s="3" t="s">
        <v>35</v>
      </c>
      <c r="C11" s="3" t="s">
        <v>3</v>
      </c>
      <c r="D11" s="3" t="s">
        <v>37</v>
      </c>
      <c r="E11" s="3" t="s">
        <v>38</v>
      </c>
      <c r="F11" s="3" t="s">
        <v>39</v>
      </c>
      <c r="G11" s="3" t="s">
        <v>40</v>
      </c>
    </row>
    <row r="12">
      <c r="B12" s="6" t="s">
        <v>42</v>
      </c>
      <c r="C12" s="6">
        <f>'Datos CP'!D40</f>
        <v>169</v>
      </c>
      <c r="D12" s="6">
        <f>'Datos CP'!E40</f>
        <v>131</v>
      </c>
      <c r="E12" s="22">
        <f t="shared" ref="E12:E14" si="1">IFERROR(D12/C12,0)</f>
        <v>0.775147929</v>
      </c>
      <c r="F12" s="6">
        <f>'Datos CP'!F40</f>
        <v>131</v>
      </c>
      <c r="G12" s="22">
        <f t="shared" ref="G12:G14" si="2">IFERROR(F12/D12,0)</f>
        <v>1</v>
      </c>
    </row>
    <row r="13">
      <c r="B13" s="6" t="s">
        <v>56</v>
      </c>
      <c r="C13" s="6">
        <f>'Datos CP'!D40</f>
        <v>169</v>
      </c>
      <c r="D13" s="6">
        <f>'Datos CP'!G40</f>
        <v>53</v>
      </c>
      <c r="E13" s="22">
        <f t="shared" si="1"/>
        <v>0.3136094675</v>
      </c>
      <c r="F13" s="6">
        <f>'Datos CP'!H40</f>
        <v>53</v>
      </c>
      <c r="G13" s="22">
        <f t="shared" si="2"/>
        <v>1</v>
      </c>
    </row>
    <row r="14">
      <c r="B14" s="6" t="s">
        <v>60</v>
      </c>
      <c r="C14" s="6">
        <f>'Datos CP'!D40</f>
        <v>169</v>
      </c>
      <c r="D14" s="6">
        <f>'Datos CP'!I40</f>
        <v>135</v>
      </c>
      <c r="E14" s="22">
        <f t="shared" si="1"/>
        <v>0.798816568</v>
      </c>
      <c r="F14" s="6">
        <f>'Datos CP'!J40</f>
        <v>133</v>
      </c>
      <c r="G14" s="22">
        <f t="shared" si="2"/>
        <v>0.9851851852</v>
      </c>
    </row>
    <row r="17">
      <c r="B17" s="26" t="s">
        <v>66</v>
      </c>
    </row>
    <row r="18">
      <c r="B18" s="3" t="s">
        <v>2</v>
      </c>
      <c r="C18" s="3" t="s">
        <v>68</v>
      </c>
      <c r="D18" s="3" t="s">
        <v>3</v>
      </c>
      <c r="E18" s="3" t="s">
        <v>69</v>
      </c>
      <c r="F18" s="3" t="s">
        <v>70</v>
      </c>
      <c r="G18" s="3" t="s">
        <v>72</v>
      </c>
      <c r="H18" s="3" t="s">
        <v>73</v>
      </c>
    </row>
    <row r="19">
      <c r="B19" s="6" t="s">
        <v>13</v>
      </c>
      <c r="C19" s="22">
        <v>1.0</v>
      </c>
      <c r="D19" s="6">
        <f>SUMIFS('Datos CP'!$D$2:$D$39,'Datos CP'!$C$2:$C$39,B19)</f>
        <v>91</v>
      </c>
      <c r="E19" s="22">
        <f>IFERROR(SUMIFS('Datos CP'!$E$2:$E$39,'Datos CP'!$C$2:$C$39,B19)/D19,0)</f>
        <v>0.7142857143</v>
      </c>
      <c r="F19" s="22">
        <f>IFERROR(SUMIFS('Datos CP'!$G$2:$G$39,'Datos CP'!$C$2:$C$39,B19)/D19,0)</f>
        <v>0.3186813187</v>
      </c>
      <c r="G19" s="22">
        <f>IFERROR(SUMIFS('Datos CP'!$I$2:$I$39,'Datos CP'!$C$2:$C$39,B19)/D19,0)</f>
        <v>0.7472527473</v>
      </c>
      <c r="H19" s="6" t="str">
        <f t="shared" ref="H19:H21" si="3">IF(AND(E19&gt;=C19,F19&gt;=C19,G19&gt;=C19),"Si","No")</f>
        <v>No</v>
      </c>
    </row>
    <row r="20">
      <c r="B20" s="6" t="s">
        <v>14</v>
      </c>
      <c r="C20" s="22">
        <v>0.75</v>
      </c>
      <c r="D20" s="6">
        <f>SUMIFS('Datos CP'!$D$2:$D$39,'Datos CP'!$C$2:$C$39,B20)</f>
        <v>75</v>
      </c>
      <c r="E20" s="22">
        <f>IFERROR(SUMIFS('Datos CP'!$E$2:$E$39,'Datos CP'!$C$2:$C$39,B20)/D20,0)</f>
        <v>0.84</v>
      </c>
      <c r="F20" s="22">
        <f>IFERROR(SUMIFS('Datos CP'!$G$2:$G$39,'Datos CP'!$C$2:$C$39,B20)/D20,0)</f>
        <v>0.28</v>
      </c>
      <c r="G20" s="22">
        <f>IFERROR(SUMIFS('Datos CP'!$I$2:$I$39,'Datos CP'!$C$2:$C$39,B20)/D20,0)</f>
        <v>0.8533333333</v>
      </c>
      <c r="H20" s="6" t="str">
        <f t="shared" si="3"/>
        <v>No</v>
      </c>
    </row>
    <row r="21" ht="15.75" customHeight="1">
      <c r="B21" s="6" t="s">
        <v>17</v>
      </c>
      <c r="C21" s="22">
        <v>0.75</v>
      </c>
      <c r="D21" s="6">
        <f>SUMIFS('Datos CP'!$D$2:$D$39,'Datos CP'!$C$2:$C$39,B21)</f>
        <v>3</v>
      </c>
      <c r="E21" s="22">
        <f>IFERROR(SUMIFS('Datos CP'!$E$2:$E$39,'Datos CP'!$C$2:$C$39,B21)/D21,0)</f>
        <v>1</v>
      </c>
      <c r="F21" s="22">
        <f>IFERROR(SUMIFS('Datos CP'!$G$2:$G$39,'Datos CP'!$C$2:$C$39,B21)/D21,0)</f>
        <v>1</v>
      </c>
      <c r="G21" s="22">
        <f>IFERROR(SUMIFS('Datos CP'!$I$2:$I$39,'Datos CP'!$C$2:$C$39,B21)/D21,0)</f>
        <v>1</v>
      </c>
      <c r="H21" s="6" t="str">
        <f t="shared" si="3"/>
        <v>Si</v>
      </c>
    </row>
    <row r="22" ht="15.75" customHeight="1"/>
    <row r="23" ht="15.75" customHeight="1"/>
    <row r="24" ht="15.75" customHeight="1">
      <c r="B24" s="26" t="s">
        <v>84</v>
      </c>
    </row>
    <row r="25" ht="15.75" customHeight="1">
      <c r="B25" s="3" t="s">
        <v>9</v>
      </c>
      <c r="C25" s="3" t="s">
        <v>85</v>
      </c>
    </row>
    <row r="26" ht="15.75" customHeight="1">
      <c r="B26" s="6" t="s">
        <v>13</v>
      </c>
      <c r="C26" s="6">
        <f>Bugs!B5</f>
        <v>7</v>
      </c>
    </row>
    <row r="27" ht="15.75" customHeight="1">
      <c r="B27" s="6" t="s">
        <v>14</v>
      </c>
      <c r="C27" s="6">
        <f>Bugs!B6</f>
        <v>5</v>
      </c>
    </row>
    <row r="28" ht="15.75" customHeight="1">
      <c r="B28" s="6" t="s">
        <v>17</v>
      </c>
      <c r="C28" s="6">
        <f>Bugs!B7</f>
        <v>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6:I6"/>
    <mergeCell ref="H7:I7"/>
    <mergeCell ref="B5:C5"/>
    <mergeCell ref="E5:F5"/>
    <mergeCell ref="H5:I5"/>
    <mergeCell ref="B6:C6"/>
    <mergeCell ref="E6:F6"/>
    <mergeCell ref="B7:C7"/>
    <mergeCell ref="E7:F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1.0"/>
    <col customWidth="1" min="4" max="4" width="10.0"/>
    <col customWidth="1" min="5" max="5" width="13.0"/>
    <col customWidth="1" min="6" max="6" width="11.0"/>
    <col customWidth="1" min="7" max="7" width="14.0"/>
    <col customWidth="1" min="8" max="9" width="12.0"/>
    <col customWidth="1" min="10" max="10" width="11.0"/>
    <col customWidth="1" min="11" max="11" width="14.86"/>
    <col customWidth="1" min="12" max="12" width="13.71"/>
    <col customWidth="1" min="13" max="13" width="16.86"/>
    <col customWidth="1" min="14" max="26" width="8.7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10</v>
      </c>
      <c r="J1" s="3" t="s">
        <v>11</v>
      </c>
      <c r="K1" s="7"/>
      <c r="L1" s="7"/>
      <c r="M1" s="7"/>
    </row>
    <row r="2">
      <c r="A2" s="11" t="s">
        <v>15</v>
      </c>
      <c r="B2" s="12" t="s">
        <v>20</v>
      </c>
      <c r="C2" s="12" t="s">
        <v>13</v>
      </c>
      <c r="D2" s="12">
        <v>6.0</v>
      </c>
      <c r="E2" s="13">
        <v>6.0</v>
      </c>
      <c r="F2" s="13">
        <v>6.0</v>
      </c>
      <c r="G2" s="12">
        <v>0.0</v>
      </c>
      <c r="H2" s="12">
        <v>0.0</v>
      </c>
      <c r="I2" s="13">
        <v>6.0</v>
      </c>
      <c r="J2" s="13">
        <v>5.0</v>
      </c>
      <c r="K2" s="14"/>
      <c r="L2" s="14"/>
      <c r="M2" s="14"/>
    </row>
    <row r="3">
      <c r="A3" s="16"/>
      <c r="B3" s="12" t="s">
        <v>21</v>
      </c>
      <c r="C3" s="12" t="s">
        <v>13</v>
      </c>
      <c r="D3" s="12">
        <v>3.0</v>
      </c>
      <c r="E3" s="13">
        <v>3.0</v>
      </c>
      <c r="F3" s="13">
        <v>3.0</v>
      </c>
      <c r="G3" s="12">
        <v>0.0</v>
      </c>
      <c r="H3" s="12">
        <v>0.0</v>
      </c>
      <c r="I3" s="13">
        <v>3.0</v>
      </c>
      <c r="J3" s="13">
        <v>3.0</v>
      </c>
      <c r="K3" s="14"/>
      <c r="L3" s="14"/>
      <c r="M3" s="14"/>
    </row>
    <row r="4">
      <c r="A4" s="16"/>
      <c r="B4" s="12" t="s">
        <v>22</v>
      </c>
      <c r="C4" s="12" t="s">
        <v>13</v>
      </c>
      <c r="D4" s="12">
        <v>7.0</v>
      </c>
      <c r="E4" s="13">
        <v>5.0</v>
      </c>
      <c r="F4" s="13">
        <v>5.0</v>
      </c>
      <c r="G4" s="12">
        <v>0.0</v>
      </c>
      <c r="H4" s="12">
        <v>0.0</v>
      </c>
      <c r="I4" s="13">
        <v>7.0</v>
      </c>
      <c r="J4" s="13">
        <v>6.0</v>
      </c>
      <c r="K4" s="14"/>
      <c r="L4" s="14"/>
      <c r="M4" s="14"/>
    </row>
    <row r="5">
      <c r="A5" s="16"/>
      <c r="B5" s="12" t="s">
        <v>23</v>
      </c>
      <c r="C5" s="12" t="s">
        <v>13</v>
      </c>
      <c r="D5" s="12">
        <v>3.0</v>
      </c>
      <c r="E5" s="12">
        <v>0.0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4"/>
      <c r="L5" s="14"/>
      <c r="M5" s="14"/>
    </row>
    <row r="6">
      <c r="A6" s="16"/>
      <c r="B6" s="12" t="s">
        <v>24</v>
      </c>
      <c r="C6" s="12" t="s">
        <v>14</v>
      </c>
      <c r="D6" s="12">
        <v>2.0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0.0</v>
      </c>
      <c r="K6" s="14"/>
      <c r="L6" s="14"/>
      <c r="M6" s="14"/>
    </row>
    <row r="7">
      <c r="A7" s="16"/>
      <c r="B7" s="12" t="s">
        <v>25</v>
      </c>
      <c r="C7" s="12" t="s">
        <v>13</v>
      </c>
      <c r="D7" s="12">
        <v>2.0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4"/>
      <c r="L7" s="14"/>
      <c r="M7" s="14"/>
    </row>
    <row r="8">
      <c r="A8" s="16"/>
      <c r="B8" s="12" t="s">
        <v>26</v>
      </c>
      <c r="C8" s="12" t="s">
        <v>13</v>
      </c>
      <c r="D8" s="12">
        <v>2.0</v>
      </c>
      <c r="E8" s="12">
        <v>0.0</v>
      </c>
      <c r="F8" s="12">
        <v>0.0</v>
      </c>
      <c r="G8" s="12">
        <v>0.0</v>
      </c>
      <c r="H8" s="12">
        <v>0.0</v>
      </c>
      <c r="I8" s="12">
        <v>0.0</v>
      </c>
      <c r="J8" s="12">
        <v>0.0</v>
      </c>
      <c r="K8" s="14"/>
      <c r="L8" s="14"/>
      <c r="M8" s="14"/>
    </row>
    <row r="9">
      <c r="A9" s="18"/>
      <c r="B9" s="12" t="s">
        <v>28</v>
      </c>
      <c r="C9" s="12" t="s">
        <v>13</v>
      </c>
      <c r="D9" s="12">
        <v>4.0</v>
      </c>
      <c r="E9" s="12">
        <v>0.0</v>
      </c>
      <c r="F9" s="12">
        <v>0.0</v>
      </c>
      <c r="G9" s="12">
        <v>0.0</v>
      </c>
      <c r="H9" s="12">
        <v>0.0</v>
      </c>
      <c r="I9" s="12">
        <v>0.0</v>
      </c>
      <c r="J9" s="12">
        <v>0.0</v>
      </c>
      <c r="K9" s="14"/>
      <c r="L9" s="14"/>
      <c r="M9" s="14"/>
    </row>
    <row r="10">
      <c r="A10" s="11" t="s">
        <v>30</v>
      </c>
      <c r="B10" s="12" t="s">
        <v>32</v>
      </c>
      <c r="C10" s="12" t="s">
        <v>13</v>
      </c>
      <c r="D10" s="12">
        <v>7.0</v>
      </c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2">
        <v>0.0</v>
      </c>
      <c r="K10" s="14"/>
      <c r="L10" s="14"/>
      <c r="M10" s="14"/>
    </row>
    <row r="11">
      <c r="A11" s="16"/>
      <c r="B11" s="12" t="s">
        <v>34</v>
      </c>
      <c r="C11" s="12" t="s">
        <v>13</v>
      </c>
      <c r="D11" s="12">
        <v>2.0</v>
      </c>
      <c r="E11" s="12">
        <v>0.0</v>
      </c>
      <c r="F11" s="12">
        <v>0.0</v>
      </c>
      <c r="G11" s="12">
        <v>0.0</v>
      </c>
      <c r="H11" s="12">
        <v>0.0</v>
      </c>
      <c r="I11" s="12">
        <v>0.0</v>
      </c>
      <c r="J11" s="12">
        <v>0.0</v>
      </c>
      <c r="K11" s="14"/>
      <c r="L11" s="14"/>
      <c r="M11" s="14"/>
    </row>
    <row r="12">
      <c r="A12" s="16"/>
      <c r="B12" s="12" t="s">
        <v>36</v>
      </c>
      <c r="C12" s="12" t="s">
        <v>14</v>
      </c>
      <c r="D12" s="13">
        <v>5.0</v>
      </c>
      <c r="E12" s="12">
        <v>0.0</v>
      </c>
      <c r="F12" s="12">
        <v>0.0</v>
      </c>
      <c r="G12" s="12">
        <v>0.0</v>
      </c>
      <c r="H12" s="12">
        <v>0.0</v>
      </c>
      <c r="I12" s="12">
        <v>0.0</v>
      </c>
      <c r="J12" s="12">
        <v>0.0</v>
      </c>
      <c r="K12" s="14"/>
      <c r="L12" s="14"/>
      <c r="M12" s="14"/>
    </row>
    <row r="13">
      <c r="A13" s="16"/>
      <c r="B13" s="12" t="s">
        <v>41</v>
      </c>
      <c r="C13" s="12" t="s">
        <v>13</v>
      </c>
      <c r="D13" s="12">
        <v>3.0</v>
      </c>
      <c r="E13" s="12">
        <v>0.0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4"/>
      <c r="L13" s="14"/>
      <c r="M13" s="14"/>
    </row>
    <row r="14">
      <c r="A14" s="18"/>
      <c r="B14" s="12" t="s">
        <v>43</v>
      </c>
      <c r="C14" s="12" t="s">
        <v>14</v>
      </c>
      <c r="D14" s="12">
        <v>4.0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4"/>
      <c r="L14" s="14"/>
      <c r="M14" s="14"/>
    </row>
    <row r="15">
      <c r="A15" s="11" t="s">
        <v>44</v>
      </c>
      <c r="B15" s="12" t="s">
        <v>45</v>
      </c>
      <c r="C15" s="12" t="s">
        <v>13</v>
      </c>
      <c r="D15" s="12">
        <v>7.0</v>
      </c>
      <c r="E15" s="13">
        <v>7.0</v>
      </c>
      <c r="F15" s="13">
        <v>7.0</v>
      </c>
      <c r="G15" s="12">
        <v>0.0</v>
      </c>
      <c r="H15" s="12">
        <v>0.0</v>
      </c>
      <c r="I15" s="13">
        <v>7.0</v>
      </c>
      <c r="J15" s="13">
        <v>7.0</v>
      </c>
      <c r="K15" s="14"/>
      <c r="L15" s="14"/>
      <c r="M15" s="14"/>
    </row>
    <row r="16">
      <c r="A16" s="16"/>
      <c r="B16" s="12" t="s">
        <v>46</v>
      </c>
      <c r="C16" s="12" t="s">
        <v>13</v>
      </c>
      <c r="D16" s="13">
        <v>7.0</v>
      </c>
      <c r="E16" s="13">
        <v>7.0</v>
      </c>
      <c r="F16" s="13">
        <v>7.0</v>
      </c>
      <c r="G16" s="12">
        <v>0.0</v>
      </c>
      <c r="H16" s="12">
        <v>0.0</v>
      </c>
      <c r="I16" s="13">
        <v>7.0</v>
      </c>
      <c r="J16" s="13">
        <v>7.0</v>
      </c>
      <c r="K16" s="14"/>
      <c r="L16" s="14"/>
      <c r="M16" s="14"/>
    </row>
    <row r="17">
      <c r="A17" s="16"/>
      <c r="B17" s="12" t="s">
        <v>47</v>
      </c>
      <c r="C17" s="12" t="s">
        <v>14</v>
      </c>
      <c r="D17" s="13">
        <v>10.0</v>
      </c>
      <c r="E17" s="13">
        <v>10.0</v>
      </c>
      <c r="F17" s="13">
        <v>10.0</v>
      </c>
      <c r="G17" s="12">
        <v>0.0</v>
      </c>
      <c r="H17" s="12">
        <v>0.0</v>
      </c>
      <c r="I17" s="13">
        <v>10.0</v>
      </c>
      <c r="J17" s="13">
        <v>10.0</v>
      </c>
      <c r="K17" s="14"/>
      <c r="L17" s="14"/>
      <c r="M17" s="14"/>
    </row>
    <row r="18">
      <c r="A18" s="18"/>
      <c r="B18" s="12" t="s">
        <v>48</v>
      </c>
      <c r="C18" s="12" t="s">
        <v>13</v>
      </c>
      <c r="D18" s="12">
        <v>8.0</v>
      </c>
      <c r="E18" s="13">
        <v>8.0</v>
      </c>
      <c r="F18" s="13">
        <v>8.0</v>
      </c>
      <c r="G18" s="12">
        <v>0.0</v>
      </c>
      <c r="H18" s="12">
        <v>0.0</v>
      </c>
      <c r="I18" s="13">
        <v>8.0</v>
      </c>
      <c r="J18" s="13">
        <v>8.0</v>
      </c>
      <c r="K18" s="14"/>
      <c r="L18" s="14"/>
      <c r="M18" s="14"/>
    </row>
    <row r="19">
      <c r="A19" s="11" t="s">
        <v>49</v>
      </c>
      <c r="B19" s="12" t="s">
        <v>50</v>
      </c>
      <c r="C19" s="12" t="s">
        <v>14</v>
      </c>
      <c r="D19" s="13">
        <v>8.0</v>
      </c>
      <c r="E19" s="13">
        <v>8.0</v>
      </c>
      <c r="F19" s="13">
        <v>8.0</v>
      </c>
      <c r="G19" s="12">
        <v>0.0</v>
      </c>
      <c r="H19" s="12">
        <v>0.0</v>
      </c>
      <c r="I19" s="13">
        <v>8.0</v>
      </c>
      <c r="J19" s="13">
        <v>8.0</v>
      </c>
      <c r="K19" s="14"/>
      <c r="L19" s="14"/>
      <c r="M19" s="14"/>
    </row>
    <row r="20">
      <c r="A20" s="16"/>
      <c r="B20" s="12" t="s">
        <v>51</v>
      </c>
      <c r="C20" s="12" t="s">
        <v>14</v>
      </c>
      <c r="D20" s="12">
        <v>8.0</v>
      </c>
      <c r="E20" s="13">
        <v>8.0</v>
      </c>
      <c r="F20" s="13">
        <v>8.0</v>
      </c>
      <c r="G20" s="12">
        <v>0.0</v>
      </c>
      <c r="H20" s="12">
        <v>0.0</v>
      </c>
      <c r="I20" s="13">
        <v>8.0</v>
      </c>
      <c r="J20" s="13">
        <v>8.0</v>
      </c>
      <c r="K20" s="14"/>
      <c r="L20" s="14"/>
      <c r="M20" s="14"/>
    </row>
    <row r="21" ht="15.75" customHeight="1">
      <c r="A21" s="16"/>
      <c r="B21" s="12" t="s">
        <v>52</v>
      </c>
      <c r="C21" s="12" t="s">
        <v>14</v>
      </c>
      <c r="D21" s="12">
        <v>9.0</v>
      </c>
      <c r="E21" s="13">
        <v>9.0</v>
      </c>
      <c r="F21" s="13">
        <v>9.0</v>
      </c>
      <c r="G21" s="12">
        <v>0.0</v>
      </c>
      <c r="H21" s="12">
        <v>0.0</v>
      </c>
      <c r="I21" s="13">
        <v>9.0</v>
      </c>
      <c r="J21" s="13">
        <v>9.0</v>
      </c>
      <c r="K21" s="14"/>
      <c r="L21" s="14"/>
      <c r="M21" s="14"/>
    </row>
    <row r="22" ht="15.75" customHeight="1">
      <c r="A22" s="18"/>
      <c r="B22" s="12" t="s">
        <v>53</v>
      </c>
      <c r="C22" s="12" t="s">
        <v>14</v>
      </c>
      <c r="D22" s="12">
        <v>8.0</v>
      </c>
      <c r="E22" s="13">
        <v>8.0</v>
      </c>
      <c r="F22" s="13">
        <v>8.0</v>
      </c>
      <c r="G22" s="12">
        <v>0.0</v>
      </c>
      <c r="H22" s="12">
        <v>0.0</v>
      </c>
      <c r="I22" s="13">
        <v>8.0</v>
      </c>
      <c r="J22" s="13">
        <v>8.0</v>
      </c>
      <c r="K22" s="14"/>
      <c r="L22" s="14"/>
      <c r="M22" s="14"/>
    </row>
    <row r="23" ht="15.75" customHeight="1">
      <c r="A23" s="11" t="s">
        <v>54</v>
      </c>
      <c r="B23" s="12" t="s">
        <v>55</v>
      </c>
      <c r="C23" s="12" t="s">
        <v>13</v>
      </c>
      <c r="D23" s="12">
        <v>4.0</v>
      </c>
      <c r="E23" s="13">
        <v>4.0</v>
      </c>
      <c r="F23" s="13">
        <v>4.0</v>
      </c>
      <c r="G23" s="13">
        <v>4.0</v>
      </c>
      <c r="H23" s="13">
        <v>4.0</v>
      </c>
      <c r="I23" s="13">
        <v>4.0</v>
      </c>
      <c r="J23" s="13">
        <v>4.0</v>
      </c>
      <c r="K23" s="23"/>
      <c r="L23" s="23"/>
      <c r="M23" s="24"/>
    </row>
    <row r="24" ht="15.75" customHeight="1">
      <c r="A24" s="18"/>
      <c r="B24" s="12" t="s">
        <v>57</v>
      </c>
      <c r="C24" s="12" t="s">
        <v>13</v>
      </c>
      <c r="D24" s="13">
        <v>3.0</v>
      </c>
      <c r="E24" s="13">
        <v>3.0</v>
      </c>
      <c r="F24" s="13">
        <v>3.0</v>
      </c>
      <c r="G24" s="13">
        <v>3.0</v>
      </c>
      <c r="H24" s="13">
        <v>3.0</v>
      </c>
      <c r="I24" s="13">
        <v>3.0</v>
      </c>
      <c r="J24" s="13">
        <v>3.0</v>
      </c>
      <c r="K24" s="23"/>
      <c r="L24" s="23"/>
      <c r="M24" s="25"/>
    </row>
    <row r="25" ht="15.75" customHeight="1">
      <c r="A25" s="11" t="s">
        <v>58</v>
      </c>
      <c r="B25" s="12" t="s">
        <v>59</v>
      </c>
      <c r="C25" s="12" t="s">
        <v>13</v>
      </c>
      <c r="D25" s="12">
        <v>2.0</v>
      </c>
      <c r="E25" s="13">
        <v>2.0</v>
      </c>
      <c r="F25" s="13">
        <v>2.0</v>
      </c>
      <c r="G25" s="13">
        <v>2.0</v>
      </c>
      <c r="H25" s="13">
        <v>2.0</v>
      </c>
      <c r="I25" s="13">
        <v>2.0</v>
      </c>
      <c r="J25" s="13">
        <v>2.0</v>
      </c>
      <c r="K25" s="14"/>
      <c r="L25" s="23"/>
      <c r="M25" s="25"/>
    </row>
    <row r="26" ht="15.75" customHeight="1">
      <c r="A26" s="16"/>
      <c r="B26" s="12" t="s">
        <v>61</v>
      </c>
      <c r="C26" s="12" t="s">
        <v>14</v>
      </c>
      <c r="D26" s="12">
        <v>2.0</v>
      </c>
      <c r="E26" s="13">
        <v>2.0</v>
      </c>
      <c r="F26" s="13">
        <v>2.0</v>
      </c>
      <c r="G26" s="13">
        <v>2.0</v>
      </c>
      <c r="H26" s="13">
        <v>2.0</v>
      </c>
      <c r="I26" s="13">
        <v>2.0</v>
      </c>
      <c r="J26" s="13">
        <v>2.0</v>
      </c>
      <c r="K26" s="14"/>
      <c r="L26" s="23"/>
      <c r="M26" s="25"/>
    </row>
    <row r="27" ht="15.75" customHeight="1">
      <c r="A27" s="16"/>
      <c r="B27" s="12" t="s">
        <v>62</v>
      </c>
      <c r="C27" s="12" t="s">
        <v>14</v>
      </c>
      <c r="D27" s="12">
        <v>4.0</v>
      </c>
      <c r="E27" s="13">
        <v>4.0</v>
      </c>
      <c r="F27" s="13">
        <v>4.0</v>
      </c>
      <c r="G27" s="13">
        <v>4.0</v>
      </c>
      <c r="H27" s="13">
        <v>4.0</v>
      </c>
      <c r="I27" s="13">
        <v>4.0</v>
      </c>
      <c r="J27" s="13">
        <v>4.0</v>
      </c>
      <c r="K27" s="14"/>
      <c r="L27" s="23"/>
      <c r="M27" s="25"/>
    </row>
    <row r="28" ht="15.75" customHeight="1">
      <c r="A28" s="16"/>
      <c r="B28" s="12" t="s">
        <v>63</v>
      </c>
      <c r="C28" s="12" t="s">
        <v>14</v>
      </c>
      <c r="D28" s="12">
        <v>2.0</v>
      </c>
      <c r="E28" s="13">
        <v>2.0</v>
      </c>
      <c r="F28" s="13">
        <v>2.0</v>
      </c>
      <c r="G28" s="13">
        <v>2.0</v>
      </c>
      <c r="H28" s="13">
        <v>2.0</v>
      </c>
      <c r="I28" s="13">
        <v>2.0</v>
      </c>
      <c r="J28" s="13">
        <v>2.0</v>
      </c>
      <c r="K28" s="14"/>
      <c r="L28" s="23"/>
      <c r="M28" s="25"/>
    </row>
    <row r="29" ht="15.75" customHeight="1">
      <c r="A29" s="18"/>
      <c r="B29" s="12" t="s">
        <v>64</v>
      </c>
      <c r="C29" s="12" t="s">
        <v>17</v>
      </c>
      <c r="D29" s="12">
        <v>3.0</v>
      </c>
      <c r="E29" s="13">
        <v>3.0</v>
      </c>
      <c r="F29" s="13">
        <v>3.0</v>
      </c>
      <c r="G29" s="13">
        <v>3.0</v>
      </c>
      <c r="H29" s="13">
        <v>3.0</v>
      </c>
      <c r="I29" s="13">
        <v>3.0</v>
      </c>
      <c r="J29" s="13">
        <v>3.0</v>
      </c>
      <c r="K29" s="14"/>
      <c r="L29" s="23"/>
      <c r="M29" s="25"/>
    </row>
    <row r="30" ht="15.75" customHeight="1">
      <c r="A30" s="11" t="s">
        <v>65</v>
      </c>
      <c r="B30" s="12" t="s">
        <v>67</v>
      </c>
      <c r="C30" s="12" t="s">
        <v>13</v>
      </c>
      <c r="D30" s="12">
        <v>4.0</v>
      </c>
      <c r="E30" s="13">
        <v>4.0</v>
      </c>
      <c r="F30" s="13">
        <v>4.0</v>
      </c>
      <c r="G30" s="13">
        <v>4.0</v>
      </c>
      <c r="H30" s="13">
        <v>4.0</v>
      </c>
      <c r="I30" s="13">
        <v>4.0</v>
      </c>
      <c r="J30" s="13">
        <v>4.0</v>
      </c>
      <c r="K30" s="23"/>
      <c r="L30" s="23"/>
      <c r="M30" s="25"/>
    </row>
    <row r="31" ht="15.75" customHeight="1">
      <c r="A31" s="16"/>
      <c r="B31" s="12" t="s">
        <v>71</v>
      </c>
      <c r="C31" s="12" t="s">
        <v>13</v>
      </c>
      <c r="D31" s="12">
        <v>4.0</v>
      </c>
      <c r="E31" s="13">
        <v>3.0</v>
      </c>
      <c r="F31" s="13">
        <v>3.0</v>
      </c>
      <c r="G31" s="13">
        <v>3.0</v>
      </c>
      <c r="H31" s="13">
        <v>3.0</v>
      </c>
      <c r="I31" s="13">
        <v>4.0</v>
      </c>
      <c r="J31" s="13">
        <v>4.0</v>
      </c>
      <c r="K31" s="23"/>
      <c r="L31" s="23"/>
      <c r="M31" s="24"/>
    </row>
    <row r="32" ht="15.75" customHeight="1">
      <c r="A32" s="18"/>
      <c r="B32" s="12" t="s">
        <v>74</v>
      </c>
      <c r="C32" s="12" t="s">
        <v>14</v>
      </c>
      <c r="D32" s="12">
        <v>2.0</v>
      </c>
      <c r="E32" s="13">
        <v>2.0</v>
      </c>
      <c r="F32" s="13">
        <v>2.0</v>
      </c>
      <c r="G32" s="13">
        <v>2.0</v>
      </c>
      <c r="H32" s="13">
        <v>2.0</v>
      </c>
      <c r="I32" s="13">
        <v>2.0</v>
      </c>
      <c r="J32" s="13">
        <v>2.0</v>
      </c>
      <c r="K32" s="23"/>
      <c r="L32" s="23"/>
      <c r="M32" s="24"/>
    </row>
    <row r="33" ht="15.75" customHeight="1">
      <c r="A33" s="11" t="s">
        <v>75</v>
      </c>
      <c r="B33" s="12" t="s">
        <v>76</v>
      </c>
      <c r="C33" s="12" t="s">
        <v>13</v>
      </c>
      <c r="D33" s="12">
        <v>4.0</v>
      </c>
      <c r="E33" s="13">
        <v>4.0</v>
      </c>
      <c r="F33" s="13">
        <v>4.0</v>
      </c>
      <c r="G33" s="13">
        <v>4.0</v>
      </c>
      <c r="H33" s="13">
        <v>4.0</v>
      </c>
      <c r="I33" s="13">
        <v>4.0</v>
      </c>
      <c r="J33" s="13">
        <v>4.0</v>
      </c>
      <c r="K33" s="23"/>
      <c r="L33" s="23"/>
      <c r="M33" s="25"/>
    </row>
    <row r="34" ht="15.75" customHeight="1">
      <c r="A34" s="16"/>
      <c r="B34" s="12" t="s">
        <v>77</v>
      </c>
      <c r="C34" s="12" t="s">
        <v>13</v>
      </c>
      <c r="D34" s="12">
        <v>3.0</v>
      </c>
      <c r="E34" s="13">
        <v>3.0</v>
      </c>
      <c r="F34" s="13">
        <v>3.0</v>
      </c>
      <c r="G34" s="13">
        <v>3.0</v>
      </c>
      <c r="H34" s="13">
        <v>3.0</v>
      </c>
      <c r="I34" s="13">
        <v>3.0</v>
      </c>
      <c r="J34" s="13">
        <v>3.0</v>
      </c>
      <c r="K34" s="27"/>
      <c r="L34" s="23"/>
      <c r="M34" s="28"/>
    </row>
    <row r="35" ht="15.75" customHeight="1">
      <c r="A35" s="16"/>
      <c r="B35" s="12" t="s">
        <v>78</v>
      </c>
      <c r="C35" s="12" t="s">
        <v>13</v>
      </c>
      <c r="D35" s="12">
        <v>2.0</v>
      </c>
      <c r="E35" s="13">
        <v>2.0</v>
      </c>
      <c r="F35" s="13">
        <v>2.0</v>
      </c>
      <c r="G35" s="13">
        <v>2.0</v>
      </c>
      <c r="H35" s="13">
        <v>2.0</v>
      </c>
      <c r="I35" s="13">
        <v>2.0</v>
      </c>
      <c r="J35" s="13">
        <v>2.0</v>
      </c>
      <c r="K35" s="14"/>
      <c r="L35" s="23"/>
      <c r="M35" s="25"/>
    </row>
    <row r="36" ht="15.75" customHeight="1">
      <c r="A36" s="18"/>
      <c r="B36" s="12" t="s">
        <v>79</v>
      </c>
      <c r="C36" s="12" t="s">
        <v>14</v>
      </c>
      <c r="D36" s="12">
        <v>4.0</v>
      </c>
      <c r="E36" s="13">
        <v>3.0</v>
      </c>
      <c r="F36" s="13">
        <v>3.0</v>
      </c>
      <c r="G36" s="13">
        <v>4.0</v>
      </c>
      <c r="H36" s="13">
        <v>4.0</v>
      </c>
      <c r="I36" s="13">
        <v>4.0</v>
      </c>
      <c r="J36" s="13">
        <v>4.0</v>
      </c>
      <c r="K36" s="23"/>
      <c r="L36" s="23"/>
      <c r="M36" s="25"/>
    </row>
    <row r="37" ht="15.75" customHeight="1">
      <c r="A37" s="11" t="s">
        <v>80</v>
      </c>
      <c r="B37" s="12" t="s">
        <v>81</v>
      </c>
      <c r="C37" s="12" t="s">
        <v>14</v>
      </c>
      <c r="D37" s="12">
        <v>3.0</v>
      </c>
      <c r="E37" s="13">
        <v>3.0</v>
      </c>
      <c r="F37" s="13">
        <v>3.0</v>
      </c>
      <c r="G37" s="13">
        <v>3.0</v>
      </c>
      <c r="H37" s="13">
        <v>3.0</v>
      </c>
      <c r="I37" s="13">
        <v>3.0</v>
      </c>
      <c r="J37" s="13">
        <v>3.0</v>
      </c>
      <c r="K37" s="23"/>
      <c r="L37" s="23"/>
      <c r="M37" s="24"/>
    </row>
    <row r="38" ht="15.75" customHeight="1">
      <c r="A38" s="16"/>
      <c r="B38" s="12" t="s">
        <v>82</v>
      </c>
      <c r="C38" s="12" t="s">
        <v>13</v>
      </c>
      <c r="D38" s="12">
        <v>4.0</v>
      </c>
      <c r="E38" s="13">
        <v>4.0</v>
      </c>
      <c r="F38" s="13">
        <v>4.0</v>
      </c>
      <c r="G38" s="13">
        <v>4.0</v>
      </c>
      <c r="H38" s="13">
        <v>4.0</v>
      </c>
      <c r="I38" s="13">
        <v>4.0</v>
      </c>
      <c r="J38" s="13">
        <v>4.0</v>
      </c>
      <c r="K38" s="23"/>
      <c r="L38" s="23"/>
      <c r="M38" s="24"/>
    </row>
    <row r="39" ht="15.75" customHeight="1">
      <c r="A39" s="18"/>
      <c r="B39" s="12" t="s">
        <v>83</v>
      </c>
      <c r="C39" s="12" t="s">
        <v>14</v>
      </c>
      <c r="D39" s="12">
        <v>4.0</v>
      </c>
      <c r="E39" s="13">
        <v>4.0</v>
      </c>
      <c r="F39" s="13">
        <v>4.0</v>
      </c>
      <c r="G39" s="13">
        <v>4.0</v>
      </c>
      <c r="H39" s="13">
        <v>4.0</v>
      </c>
      <c r="I39" s="13">
        <v>4.0</v>
      </c>
      <c r="J39" s="13">
        <v>4.0</v>
      </c>
      <c r="K39" s="14"/>
      <c r="L39" s="23"/>
      <c r="M39" s="25"/>
    </row>
    <row r="40" ht="15.75" customHeight="1">
      <c r="B40" s="10" t="s">
        <v>18</v>
      </c>
      <c r="C40" s="29"/>
      <c r="D40" s="30">
        <f t="shared" ref="D40:J40" si="1">SUM(D2:D39)</f>
        <v>169</v>
      </c>
      <c r="E40" s="30">
        <f t="shared" si="1"/>
        <v>131</v>
      </c>
      <c r="F40" s="30">
        <f t="shared" si="1"/>
        <v>131</v>
      </c>
      <c r="G40" s="30">
        <f t="shared" si="1"/>
        <v>53</v>
      </c>
      <c r="H40" s="30">
        <f t="shared" si="1"/>
        <v>53</v>
      </c>
      <c r="I40" s="30">
        <f t="shared" si="1"/>
        <v>135</v>
      </c>
      <c r="J40" s="30">
        <f t="shared" si="1"/>
        <v>133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3:A36"/>
    <mergeCell ref="A37:A39"/>
    <mergeCell ref="A2:A9"/>
    <mergeCell ref="A10:A14"/>
    <mergeCell ref="A15:A18"/>
    <mergeCell ref="A19:A22"/>
    <mergeCell ref="A23:A24"/>
    <mergeCell ref="A25:A29"/>
    <mergeCell ref="A30:A3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26" width="8.71"/>
  </cols>
  <sheetData>
    <row r="1">
      <c r="A1" s="1"/>
    </row>
    <row r="2">
      <c r="A2" s="4"/>
    </row>
    <row r="4">
      <c r="A4" s="3" t="s">
        <v>9</v>
      </c>
      <c r="B4" s="3" t="s">
        <v>12</v>
      </c>
    </row>
    <row r="5">
      <c r="A5" s="6" t="s">
        <v>13</v>
      </c>
      <c r="B5" s="8">
        <v>7.0</v>
      </c>
    </row>
    <row r="6">
      <c r="A6" s="6" t="s">
        <v>14</v>
      </c>
      <c r="B6" s="8">
        <v>5.0</v>
      </c>
    </row>
    <row r="7">
      <c r="A7" s="6" t="s">
        <v>17</v>
      </c>
      <c r="B7" s="6">
        <v>2.0</v>
      </c>
    </row>
    <row r="8">
      <c r="A8" s="10" t="s">
        <v>18</v>
      </c>
      <c r="B8" s="10">
        <f>SUM(B5:B7)</f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2026-08-04T23:10:04Z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