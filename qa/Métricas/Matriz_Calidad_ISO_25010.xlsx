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de Calidad" sheetId="1" r:id="rId4"/>
    <sheet state="visible" name="Adecuación Funcional" sheetId="2" r:id="rId5"/>
    <sheet state="visible" name="Eficiencia de Rendimiento" sheetId="3" r:id="rId6"/>
    <sheet state="visible" name="Compatibilidad" sheetId="4" r:id="rId7"/>
    <sheet state="visible" name="Usabilidad" sheetId="5" r:id="rId8"/>
    <sheet state="visible" name="Fiabilidad" sheetId="6" r:id="rId9"/>
    <sheet state="visible" name="Seguridad" sheetId="7" r:id="rId10"/>
    <sheet state="visible" name="Mantenibilidad" sheetId="8" r:id="rId11"/>
    <sheet state="visible" name="Portabilidad" sheetId="9" r:id="rId12"/>
    <sheet state="visible" name="Banco de Preguntas" sheetId="10" r:id="rId13"/>
  </sheets>
  <definedNames/>
  <calcPr/>
  <extLst>
    <ext uri="GoogleSheetsCustomDataVersion2">
      <go:sheetsCustomData xmlns:go="http://customooxmlschemas.google.com/" r:id="rId14" roundtripDataChecksum="6186+F27r/wCmZdFQ3g7JyS/AhHdOuVmhCh3bmo97ps="/>
    </ext>
  </extLst>
</workbook>
</file>

<file path=xl/sharedStrings.xml><?xml version="1.0" encoding="utf-8"?>
<sst xmlns="http://schemas.openxmlformats.org/spreadsheetml/2006/main" count="303" uniqueCount="192">
  <si>
    <t>P-QA-20</t>
  </si>
  <si>
    <t>MATRIZ DE EVALUACIÓN: EFICIENCIA DE RENDIMIENTO</t>
  </si>
  <si>
    <t>MATRIZ DE EVALUACIÓN: ADECUACIÓN FUNCIONAL</t>
  </si>
  <si>
    <t>MATRIZ DE EVALUACIÓN: COMPATIBILIDAD</t>
  </si>
  <si>
    <t>CONSOLIDADO DE EVALUACIÓN - ISO/IEC 25010</t>
  </si>
  <si>
    <t>Resumen general del porcentaje de calidad del software evaluado.</t>
  </si>
  <si>
    <t>Instrucciones: Asigne un peso del 1 al 5 según la importancia del criterio, y califique de 0 a 5 el cumplimiento.</t>
  </si>
  <si>
    <t>Característica de Calidad</t>
  </si>
  <si>
    <t>ID</t>
  </si>
  <si>
    <t>Puntaje Máximo Posible</t>
  </si>
  <si>
    <t>Puntaje Obtenido</t>
  </si>
  <si>
    <t>Porcentaje de Calidad</t>
  </si>
  <si>
    <t>Adecuación Funcional</t>
  </si>
  <si>
    <t>Subcaracterística</t>
  </si>
  <si>
    <t>Criterio de Evaluación / Ejemplo</t>
  </si>
  <si>
    <t>Peso (1-5)</t>
  </si>
  <si>
    <t>Calificación (0-5)</t>
  </si>
  <si>
    <t>Observación / Evidencia</t>
  </si>
  <si>
    <t>COMP_COEX_01</t>
  </si>
  <si>
    <t>REND_TEMP_01</t>
  </si>
  <si>
    <t>FUNC_COMP_01</t>
  </si>
  <si>
    <t>Coexistencia</t>
  </si>
  <si>
    <t>Completo funcional</t>
  </si>
  <si>
    <t>Comportamiento temporal</t>
  </si>
  <si>
    <t>La aplicación móvil funciona sin interferencias en dispositivos donde están instaladas apps de la competencia.</t>
  </si>
  <si>
    <t>El tiempo de respuesta del sistema al cargar la página de inicio es inferior a 2 segundos bajo carga normal.</t>
  </si>
  <si>
    <t>El sistema permite realizar todo el flujo de pedidos desde el registro hasta la facturación sin omitir pasos críticos.</t>
  </si>
  <si>
    <t>Probamos la app de Flutter tanto en emulador como en un celular Android real, y no tuvimos problemas con otras apps instaladas.</t>
  </si>
  <si>
    <t>Todavía no hemos medido los tiempos de respuesta en serio, solo hicimos pruebas manuales con Postman/Swagger para chequear que todo respondiera rápido a simple vista.</t>
  </si>
  <si>
    <t>Probamos el flujo completo (personalización → carrito → pedido → ticket) con pruebas end-to-end en pedidos.e2e-spec.ts y pedidos-personalizados.e2e-spec.ts, y no se salta ningún paso importante.</t>
  </si>
  <si>
    <t>COMP_INTE_01</t>
  </si>
  <si>
    <t>REND_UTIL_01</t>
  </si>
  <si>
    <t>FUNC_CORR_01</t>
  </si>
  <si>
    <t>Interoperabilidad</t>
  </si>
  <si>
    <t>Utilización de recursos</t>
  </si>
  <si>
    <t>Corrección funcional</t>
  </si>
  <si>
    <t>La API del sistema se integra y comparte datos correctamente con el módulo de contabilidad externo mediante JSON.</t>
  </si>
  <si>
    <t>El consumo de memoria RAM del servidor no supera el 60% durante la generación de reportes masivos.</t>
  </si>
  <si>
    <t>Los cálculos en el carrito de compras son exactos según las reglas de negocio.</t>
  </si>
  <si>
    <t>La API de NestJS responde en JSON y la consumen sin drama tanto el frontend en React (con Axios) como la app en Flutter (con nuestro ApiService, usando el header x-api-key y las cookies JWT).</t>
  </si>
  <si>
    <t>No tenemos forma de saber cuánta RAM usa el servidor, porque aún no montamos ningún monitoreo de recursos.</t>
  </si>
  <si>
    <t>El cálculo del precio de producto personalizado (RF-005.2) lo probamos con pruebas unitarias. En el camino encontramos y arreglamos un bug: los agregados SQL de los reportes devolvían NULL en lugar de 0.</t>
  </si>
  <si>
    <t>REND_CAPA_01</t>
  </si>
  <si>
    <t>Capacidad</t>
  </si>
  <si>
    <t>El sistema procesa correctamente 500 transacciones simultáneas sin degradar el servicio.</t>
  </si>
  <si>
    <t>FUNC_PERT_01</t>
  </si>
  <si>
    <t>Pertinencia funcional</t>
  </si>
  <si>
    <t>Nunca lo probamos con carga simulada; nos falta hacer pruebas de estrés con algo como JMeter o k6.</t>
  </si>
  <si>
    <t>Las opciones del menú corresponden estrictamente a las tareas que el usuario necesita realizar en su rol.</t>
  </si>
  <si>
    <t>Los menús se filtran según el rol (cliente, admin, trabajador) usando guards en NestJS, y en Flutter la navegación también cambia según quién esté logueado.</t>
  </si>
  <si>
    <t>Eficiencia de Rendimiento</t>
  </si>
  <si>
    <t>Compatibilidad</t>
  </si>
  <si>
    <t>Usabilidad</t>
  </si>
  <si>
    <t>Fiabilidad</t>
  </si>
  <si>
    <t>Seguridad</t>
  </si>
  <si>
    <t>Mantenibilidad</t>
  </si>
  <si>
    <t>Portabilidad</t>
  </si>
  <si>
    <t>PORCENTAJE TOTAL DE CALIDAD DEL SOFTWARE</t>
  </si>
  <si>
    <t>MATRIZ DE EVALUACIÓN: FIABILIDAD</t>
  </si>
  <si>
    <t>MATRIZ DE EVALUACIÓN: USABILIDAD</t>
  </si>
  <si>
    <t>MATRIZ DE EVALUACIÓN: SEGURIDAD</t>
  </si>
  <si>
    <t>FIAB_MADU_01</t>
  </si>
  <si>
    <t>Madurez</t>
  </si>
  <si>
    <t>El sistema opera de forma continua en producción sin presentar caídas imprevistas durante la última semana.</t>
  </si>
  <si>
    <t>USAB_RECO_01</t>
  </si>
  <si>
    <t>Reconocimiento de adecuación</t>
  </si>
  <si>
    <t>El usuario identifica el propósito de la pantalla web en los primeros 5 segundos de visualización.</t>
  </si>
  <si>
    <t>la mayoria de pruebas e2e (pedidos, pedidos personalizados, movimientos, notificaciones) pasa sin sorpresas raras.</t>
  </si>
  <si>
    <t>El panel de admin tiene cada sección bien marcada por módulo (inventario, pedidos, reportes), así que es fácil ubicarse.</t>
  </si>
  <si>
    <t>FIAB_DISP_01</t>
  </si>
  <si>
    <t>Disponibilidad</t>
  </si>
  <si>
    <t>La plataforma está operativa y accesible para los usuarios el 99.9% del tiempo contratado en el mes.</t>
  </si>
  <si>
    <t>USAB_APRE_01</t>
  </si>
  <si>
    <t>Aprendizaje</t>
  </si>
  <si>
    <t>Un usuario nuevo puede completar un registro de perfil sin necesidad de consultar un manual de ayuda.</t>
  </si>
  <si>
    <t>Todavía no montamos nada para monitorear si el sistema está caído en producción, así que no tenemos ni idea del uptime real.</t>
  </si>
  <si>
    <t>Probamos el registro de usuario (RF-001.1) con gente que no conocía el sistema y lo lograron sin pedir ayuda ni manual.</t>
  </si>
  <si>
    <t>FIAB_TOLE_01</t>
  </si>
  <si>
    <t>Tolerancia a fallos</t>
  </si>
  <si>
    <t>USAB_OPER_01</t>
  </si>
  <si>
    <t>Si la conexión con la base de datos principal falla, el sistema conmuta automáticamente a la réplica de lectura.</t>
  </si>
  <si>
    <t>Operabilidad</t>
  </si>
  <si>
    <t>El sistema ofrece atajos de teclado para las funciones más frecuentes, facilitando el trabajo continuo.</t>
  </si>
  <si>
    <t>No tenemos una réplica de la base de datos ni nada que haga failover automático si la principal falla. Brecha pendiente.</t>
  </si>
  <si>
    <t>SEGU_CONF_01</t>
  </si>
  <si>
    <t>No tenemos atajos de teclado todavía. Es una brecha que detectamos, pero no es algo urgente para el negocio.</t>
  </si>
  <si>
    <t>USAB_PROT_01</t>
  </si>
  <si>
    <t>Confidencialidad</t>
  </si>
  <si>
    <t>Protección contra errores de usuario</t>
  </si>
  <si>
    <t>El sistema pide confirmación antes de eliminar permanentemente un registro de la base de datos.</t>
  </si>
  <si>
    <t>FIAB_RECU_01</t>
  </si>
  <si>
    <t>Las contraseñas de los usuarios están encriptadas con un algoritmo robusto (ej. bcrypt) en la base de datos.</t>
  </si>
  <si>
    <t>Capacidad de recuperación</t>
  </si>
  <si>
    <t>En las pantallas de admin en Flutter, antes de eliminar o desactivar algo siempre pedimos confirmación, para evitar que se borre algo por accidente.</t>
  </si>
  <si>
    <t>Tras un corte de energía, el sistema restaura el estado de los datos al último punto de control guardado.</t>
  </si>
  <si>
    <t>USAB_ESTE_01</t>
  </si>
  <si>
    <t>Estética de la interfaz de usuario</t>
  </si>
  <si>
    <t>Usamos prisma.$transaction() en los movimientos de inventario, así que si algo falla a mitad de camino el stock no queda en un estado raro o inconsistente.</t>
  </si>
  <si>
    <t>El diseño visual mantiene una paleta de colores coherente y un espaciado que evita la fatiga visual.</t>
  </si>
  <si>
    <t>Las contraseñas se guardan hasheadas con bcrypt en el módulo de autenticación, nunca en texto plano.</t>
  </si>
  <si>
    <t>Los colores y la tipografía se manejan desde un theme centralizado con Provider, así que todo se ve parejo en toda la app.</t>
  </si>
  <si>
    <t>SEGU_INTE_01</t>
  </si>
  <si>
    <t>USAB_ACCE_01</t>
  </si>
  <si>
    <t>Integridad</t>
  </si>
  <si>
    <t>Accesibilidad</t>
  </si>
  <si>
    <t>El sitio web cumple con las pautas WCAG, permitiendo la navegación con lectores de pantalla para personas visuales.</t>
  </si>
  <si>
    <t>El sistema evita modificaciones no autorizadas en los datos mediante validaciones en el servidor (backend).</t>
  </si>
  <si>
    <t>Validamos todo en el backend con DTOs y class-validator; se confirmó que no hay consultas SQL sin parametrizar (todo pasa por los métodos tipados de Prisma, sin $queryRaw ni concatenación de strings). Pendiente: falta implementar rate-limiting en el login para mitigar fuerza bruta.</t>
  </si>
  <si>
    <t>SEGU_NORE_01</t>
  </si>
  <si>
    <t>No repudio</t>
  </si>
  <si>
    <t>Nunca revisamos si cumplimos con WCAG y tampoco tenemos soporte para lectores de pantalla. Es una brecha real que nos queda pendiente.</t>
  </si>
  <si>
    <t>Cada transacción financiera registra de forma inalterable el ID del usuario, fecha y hora en el log de auditoría.</t>
  </si>
  <si>
    <t>Cada vez que cambia el estado de un pedido o ticket, queda registrado quién lo hizo y a qué hora (RF-008.2).</t>
  </si>
  <si>
    <t>SEGU_RESP_01</t>
  </si>
  <si>
    <t>Responsabilidad</t>
  </si>
  <si>
    <t>El sistema registra de manera clara qué acciones ejecutó cada administrador para poder auditar incidentes.</t>
  </si>
  <si>
    <t>En cada movimiento de inventario (entrada o salida) queda guardado qué usuario fue el responsable, para poder rastrear cualquier cosa rara.</t>
  </si>
  <si>
    <t>SEGU_AUTE_01</t>
  </si>
  <si>
    <t>Autenticidad</t>
  </si>
  <si>
    <t>El sistema valida tokens digitales (JWT) firmados para confirmar que las peticiones provienen de usuarios válidos.</t>
  </si>
  <si>
    <t>Usamos JWT guardado en cookies más un header x-api-key, y ambos se validan en cada petición que llega.</t>
  </si>
  <si>
    <t>MATRIZ DE EVALUACIÓN: MANTENIBILIDAD</t>
  </si>
  <si>
    <t>MANT_MODU_01</t>
  </si>
  <si>
    <t>Modularidad</t>
  </si>
  <si>
    <t>Un cambio en el módulo de facturación no afecta ni altera el funcionamiento del módulo de inventarios.</t>
  </si>
  <si>
    <t>El backend en NestJS está dividido en módulos independientes por dominio (pedidos, movimientos, notificaciones, materiales), así que tocar uno no debería romper los demás.</t>
  </si>
  <si>
    <t>MANT_REUS_01</t>
  </si>
  <si>
    <t>Reusabilidad</t>
  </si>
  <si>
    <t>El componente visual de calendario se utiliza en múltiples formularios del sistema sin duplicar código.</t>
  </si>
  <si>
    <t>Tenemos un ApiService y el patrón Repository con Either&lt;Failure, T&gt; (usando fpdart) que reutilizamos en varias pantallas de Flutter, así no repetimos código.</t>
  </si>
  <si>
    <t>MANT_ANAL_01</t>
  </si>
  <si>
    <t>Analizabilidad</t>
  </si>
  <si>
    <t>Los logs de error detallan la línea de código y el archivo exacto donde ocurrió una excepción para su diagnóstico.</t>
  </si>
  <si>
    <t>Sí hay logs, pero no están del todo ordenados. Además nos dimos cuenta de que falta un try/catch en el envío de correos, lo que hace bien difícil diagnosticar cuando falla una notificación.</t>
  </si>
  <si>
    <t>MANT_MODI_01</t>
  </si>
  <si>
    <t>Modificabilidad</t>
  </si>
  <si>
    <t>Agregar un nuevo campo al formulario de registro requiere modificaciones mínimas en la base de datos y backend.</t>
  </si>
  <si>
    <t>Si hay que agregar un campo nuevo, toca hacer una migración con Prisma y actualizar el DTO correspondiente. Es trabajo extra pero nada del otro mundo.</t>
  </si>
  <si>
    <t>MANT_PRUE_01</t>
  </si>
  <si>
    <t>Capacidad de prueba</t>
  </si>
  <si>
    <t>El código fuente cuenta con pruebas unitarias automatizadas que cubren al menos el 80% de las funciones.</t>
  </si>
  <si>
    <t>Las pruebas con Jest y e2e cubren del RF-005 al RF-009, pero todavía nos faltan 5 funcionalidades del backend por implementar y, claro, cubrir con pruebas.</t>
  </si>
  <si>
    <t>MATRIZ DE EVALUACIÓN: PORTABILIDAD</t>
  </si>
  <si>
    <t>BANCO DE PREGUNTAS PARA APRENDICES</t>
  </si>
  <si>
    <t>Cuestionario guía para auditorías de calidad de software basadas en ISO 25010.</t>
  </si>
  <si>
    <t>N°</t>
  </si>
  <si>
    <t>Pregunta de Evaluación</t>
  </si>
  <si>
    <t>Característica Asociada</t>
  </si>
  <si>
    <t>PORT_ADAP_01</t>
  </si>
  <si>
    <t>Subcaracterística Asociada</t>
  </si>
  <si>
    <t>Adaptabilidad</t>
  </si>
  <si>
    <t>La aplicación web se adapta y visualiza correctamente en pantallas de laptops, tablets y smartphones.</t>
  </si>
  <si>
    <t>¿El sistema incluye todas las funciones especificadas en los requisitos iniciales?</t>
  </si>
  <si>
    <t>El frontend en React es responsive (armado con Vite) y Flutter ya es multiplataforma de por sí, así que no tuvimos que hacer mucho extra ahí.</t>
  </si>
  <si>
    <t>PORT_INST_01</t>
  </si>
  <si>
    <t>Facilidad de instalación</t>
  </si>
  <si>
    <t>El sistema se puede desplegar en un servidor nuevo en menos de una hora usando contenedores Docker.</t>
  </si>
  <si>
    <t>¿El software arroja resultados matemáticos correctos en los reportes contables?</t>
  </si>
  <si>
    <t>Todavía no dockerizamos nada; por ahora el despliegue es manual y en desarrollo usamos ngrok para exponer el backend. Es una brecha que tenemos identificada.</t>
  </si>
  <si>
    <t>PORT_SUST_01</t>
  </si>
  <si>
    <t>Facilidad de sustitución</t>
  </si>
  <si>
    <t>La aplicación puede reemplazar al software anterior importando de forma directa la base de datos vieja.</t>
  </si>
  <si>
    <t>¿Las opciones visibles ayudan directamente al usuario a cumplir sus metas de negocio?</t>
  </si>
  <si>
    <t>Esto no lo evaluamos porque no aplica: no hay un sistema anterior al que estemos reemplazando en este proyecto.</t>
  </si>
  <si>
    <t>¿La búsqueda de productos tarda menos de un segundo en mostrar resultados?</t>
  </si>
  <si>
    <t>¿El sistema libera la memoria RAM después de cerrar un reporte complejo?</t>
  </si>
  <si>
    <t>¿Soporta el aumento repentino de usuarios en fechas de alta demanda (Black Friday)?</t>
  </si>
  <si>
    <t>¿Puede ejecutarse al mismo tiempo que el antivirus sin ralentizar el equipo?</t>
  </si>
  <si>
    <t>¿Los datos exportados en Excel se abren correctamente en otras suites de oficina?</t>
  </si>
  <si>
    <t>¿Los iconos utilizados representan claramente la acción que van a realizar?</t>
  </si>
  <si>
    <t>¿Los mensajes de bienvenida guían intuitivamente al usuario nuevo?</t>
  </si>
  <si>
    <t>¿Es fácil navegar por el sitio utilizando únicamente el teclado?</t>
  </si>
  <si>
    <t>¿El sistema previene que se envíe un formulario vacío resaltando los campos?</t>
  </si>
  <si>
    <t>¿El tamaño de la fuente y los contrastes cumplen con normas de diseño limpio?</t>
  </si>
  <si>
    <t>¿Tiene la opción de activar subtítulos o descripciones de audio para videos integrados?</t>
  </si>
  <si>
    <t>¿El software funciona sin colgarse durante jornadas laborales de 8 horas consecutivas?</t>
  </si>
  <si>
    <t>¿Existe un canal alterno de acceso si el servidor principal falla?</t>
  </si>
  <si>
    <t>¿El sistema sigue funcionando si se desconecta momentáneamente la red de internet?</t>
  </si>
  <si>
    <t>¿Cuánto tiempo tarda el sistema en volver a estar en línea tras reiniciar el servidor?</t>
  </si>
  <si>
    <t>¿La sesión de usuario expira automáticamente tras 15 minutos de inactividad?</t>
  </si>
  <si>
    <t>¿Se bloquea la edición de campos históricos una vez cerrado el mes contable?</t>
  </si>
  <si>
    <t>¿Se puede demostrar legalmente qué usuario aprobó un presupuesto?</t>
  </si>
  <si>
    <t>¿El sistema permite rastrear los intentos fallidos de inicio de sesión por dirección IP?</t>
  </si>
  <si>
    <t>¿La plataforma exige el uso de autenticación de dos factores (2FA)?</t>
  </si>
  <si>
    <t>¿El código fuente está dividido en capas (Controlador, Servicio, Repositorio)?</t>
  </si>
  <si>
    <t>¿Las funciones de formato de fechas se encuentran centralizadas en una sola librería?</t>
  </si>
  <si>
    <t>¿Se generan archivos log diarios estructurados con niveles (INFO, WARN, ERROR)?</t>
  </si>
  <si>
    <t>¿El sistema permite cambiar el proveedor de base de datos sin reescribir todo el código?</t>
  </si>
  <si>
    <t>¿Se pueden ejecutar las pruebas del sistema de forma automática en un pipeline de CI/CD?</t>
  </si>
  <si>
    <t>¿La aplicación se ejecuta de igual forma en sistemas operativos Windows, Linux y macOS?</t>
  </si>
  <si>
    <t>¿El instalador configura automáticamente las dependencias necesarias?</t>
  </si>
  <si>
    <t>¿Es posible migrar los datos al nuevo sistema sin pérdida de información histórica?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</si>
</sst>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1F4E78"/>
      <name val="Calibri"/>
    </font>
    <font>
      <i/>
      <sz val="11.0"/>
      <color theme="1"/>
      <name val="Calibri"/>
    </font>
    <font>
      <i/>
      <sz val="10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C5234"/>
        <bgColor rgb="FF2C5234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6" numFmtId="164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shrinkToFit="0" vertical="bottom" wrapText="0"/>
    </xf>
    <xf borderId="1" fillId="4" fontId="9" numFmtId="164" xfId="0" applyAlignment="1" applyBorder="1" applyFill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0.0"/>
    <col customWidth="1" min="3" max="3" width="49.0"/>
    <col customWidth="1" min="4" max="4" width="60.0"/>
    <col customWidth="1" min="5" max="5" width="26.0"/>
    <col customWidth="1" min="6" max="6" width="8.71"/>
  </cols>
  <sheetData>
    <row r="1">
      <c r="A1" s="1" t="s">
        <v>0</v>
      </c>
    </row>
    <row r="2">
      <c r="B2" s="2" t="s">
        <v>4</v>
      </c>
    </row>
    <row r="3">
      <c r="B3" s="3" t="s">
        <v>5</v>
      </c>
    </row>
    <row r="5">
      <c r="B5" s="5" t="s">
        <v>7</v>
      </c>
      <c r="C5" s="5" t="s">
        <v>9</v>
      </c>
      <c r="D5" s="5" t="s">
        <v>10</v>
      </c>
      <c r="E5" s="5" t="s">
        <v>11</v>
      </c>
    </row>
    <row r="6">
      <c r="B6" s="7" t="s">
        <v>12</v>
      </c>
      <c r="C6" s="14">
        <f>SUM('Adecuación Funcional'!$E$6:$E$8)*5</f>
        <v>75</v>
      </c>
      <c r="D6" s="14">
        <f>SUMPRODUCT('Adecuación Funcional'!$E$6:$E$8,'Adecuación Funcional'!$F$6:$F$8)</f>
        <v>70</v>
      </c>
      <c r="E6" s="17">
        <f t="shared" ref="E6:E14" si="1">IF(C6&gt;0, D6/C6, 0)</f>
        <v>0.9333333333</v>
      </c>
    </row>
    <row r="7">
      <c r="B7" s="7" t="s">
        <v>50</v>
      </c>
      <c r="C7" s="14">
        <f>SUM('Eficiencia de Rendimiento'!$E$6:$E$8)*5</f>
        <v>45</v>
      </c>
      <c r="D7" s="14">
        <f>SUMPRODUCT('Eficiencia de Rendimiento'!$E$6:$E$8,'Eficiencia de Rendimiento'!$F$6:$F$8)</f>
        <v>21</v>
      </c>
      <c r="E7" s="17">
        <f t="shared" si="1"/>
        <v>0.4666666667</v>
      </c>
    </row>
    <row r="8">
      <c r="B8" s="7" t="s">
        <v>51</v>
      </c>
      <c r="C8" s="14">
        <f>SUM(Compatibilidad!$E$6:$E$7)*5</f>
        <v>45</v>
      </c>
      <c r="D8" s="14">
        <f>SUMPRODUCT(Compatibilidad!$E$6:$E$7,Compatibilidad!$F$6:$F$7)</f>
        <v>41</v>
      </c>
      <c r="E8" s="17">
        <f t="shared" si="1"/>
        <v>0.9111111111</v>
      </c>
    </row>
    <row r="9">
      <c r="B9" s="7" t="s">
        <v>52</v>
      </c>
      <c r="C9" s="14">
        <f>SUM(Usabilidad!$E$6:$E$11)*5</f>
        <v>110</v>
      </c>
      <c r="D9" s="14">
        <f>SUMPRODUCT(Usabilidad!$E$6:$E$11,Usabilidad!$F$6:$F$11)</f>
        <v>80</v>
      </c>
      <c r="E9" s="17">
        <f t="shared" si="1"/>
        <v>0.7272727273</v>
      </c>
    </row>
    <row r="10">
      <c r="B10" s="7" t="s">
        <v>53</v>
      </c>
      <c r="C10" s="14">
        <f>SUM(Fiabilidad!$E$6:$E$9)*5</f>
        <v>80</v>
      </c>
      <c r="D10" s="14">
        <f>SUMPRODUCT(Fiabilidad!$E$6:$E$9,Fiabilidad!$F$6:$F$9)</f>
        <v>49</v>
      </c>
      <c r="E10" s="17">
        <f t="shared" si="1"/>
        <v>0.6125</v>
      </c>
    </row>
    <row r="11">
      <c r="B11" s="7" t="s">
        <v>54</v>
      </c>
      <c r="C11" s="14">
        <f>SUM(Seguridad!$E$6:$E$10)*5</f>
        <v>115</v>
      </c>
      <c r="D11" s="14">
        <f>SUMPRODUCT(Seguridad!$E$6:$E$10,Seguridad!$F$6:$F$10)</f>
        <v>102</v>
      </c>
      <c r="E11" s="17">
        <f t="shared" si="1"/>
        <v>0.8869565217</v>
      </c>
    </row>
    <row r="12">
      <c r="B12" s="7" t="s">
        <v>55</v>
      </c>
      <c r="C12" s="14">
        <f>SUM(Mantenibilidad!$E$6:$E$10)*5</f>
        <v>110</v>
      </c>
      <c r="D12" s="14">
        <f>SUMPRODUCT(Mantenibilidad!$E$6:$E$10,Mantenibilidad!$F$6:$F$10)</f>
        <v>84</v>
      </c>
      <c r="E12" s="17">
        <f t="shared" si="1"/>
        <v>0.7636363636</v>
      </c>
    </row>
    <row r="13">
      <c r="B13" s="7" t="s">
        <v>56</v>
      </c>
      <c r="C13" s="14">
        <f>SUM(Portabilidad!$E$6:$E$8)*5</f>
        <v>45</v>
      </c>
      <c r="D13" s="14">
        <f>SUMPRODUCT(Portabilidad!$E$6:$E$8,Portabilidad!$F$6:$F$8)</f>
        <v>19</v>
      </c>
      <c r="E13" s="17">
        <f t="shared" si="1"/>
        <v>0.4222222222</v>
      </c>
    </row>
    <row r="14">
      <c r="B14" s="18" t="s">
        <v>57</v>
      </c>
      <c r="C14" s="5">
        <f t="shared" ref="C14:D14" si="2">SUM(C6:C13)</f>
        <v>625</v>
      </c>
      <c r="D14" s="5">
        <f t="shared" si="2"/>
        <v>466</v>
      </c>
      <c r="E14" s="19">
        <f t="shared" si="1"/>
        <v>0.7456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4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2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20</v>
      </c>
      <c r="C6" s="9" t="s">
        <v>22</v>
      </c>
      <c r="D6" s="11" t="s">
        <v>26</v>
      </c>
      <c r="E6" s="12">
        <v>5.0</v>
      </c>
      <c r="F6" s="12">
        <v>5.0</v>
      </c>
      <c r="G6" s="13" t="s">
        <v>29</v>
      </c>
    </row>
    <row r="7">
      <c r="B7" s="8" t="s">
        <v>32</v>
      </c>
      <c r="C7" s="9" t="s">
        <v>35</v>
      </c>
      <c r="D7" s="11" t="s">
        <v>38</v>
      </c>
      <c r="E7" s="12">
        <v>5.0</v>
      </c>
      <c r="F7" s="12">
        <v>4.0</v>
      </c>
      <c r="G7" s="15" t="s">
        <v>41</v>
      </c>
    </row>
    <row r="8">
      <c r="B8" s="8" t="s">
        <v>45</v>
      </c>
      <c r="C8" s="9" t="s">
        <v>46</v>
      </c>
      <c r="D8" s="10" t="s">
        <v>48</v>
      </c>
      <c r="E8" s="12">
        <v>5.0</v>
      </c>
      <c r="F8" s="12">
        <v>5.0</v>
      </c>
      <c r="G8" s="13" t="s">
        <v>49</v>
      </c>
    </row>
    <row r="9">
      <c r="G9" s="16"/>
    </row>
    <row r="10">
      <c r="G10" s="16"/>
    </row>
    <row r="11">
      <c r="G11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6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1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19</v>
      </c>
      <c r="C6" s="9" t="s">
        <v>23</v>
      </c>
      <c r="D6" s="10" t="s">
        <v>25</v>
      </c>
      <c r="E6" s="12">
        <v>3.0</v>
      </c>
      <c r="F6" s="12">
        <v>3.0</v>
      </c>
      <c r="G6" s="13" t="s">
        <v>28</v>
      </c>
    </row>
    <row r="7">
      <c r="B7" s="8" t="s">
        <v>31</v>
      </c>
      <c r="C7" s="9" t="s">
        <v>34</v>
      </c>
      <c r="D7" s="10" t="s">
        <v>37</v>
      </c>
      <c r="E7" s="12">
        <v>3.0</v>
      </c>
      <c r="F7" s="12">
        <v>2.0</v>
      </c>
      <c r="G7" s="13" t="s">
        <v>40</v>
      </c>
    </row>
    <row r="8">
      <c r="B8" s="8" t="s">
        <v>42</v>
      </c>
      <c r="C8" s="9" t="s">
        <v>43</v>
      </c>
      <c r="D8" s="10" t="s">
        <v>44</v>
      </c>
      <c r="E8" s="12">
        <v>3.0</v>
      </c>
      <c r="F8" s="12">
        <v>2.0</v>
      </c>
      <c r="G8" s="13" t="s">
        <v>47</v>
      </c>
    </row>
    <row r="9">
      <c r="G9" s="16"/>
    </row>
    <row r="10">
      <c r="G10" s="16"/>
    </row>
    <row r="11">
      <c r="G11" s="16"/>
    </row>
    <row r="12">
      <c r="G12" s="16"/>
    </row>
    <row r="13">
      <c r="G13" s="16"/>
    </row>
    <row r="14">
      <c r="G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3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18</v>
      </c>
      <c r="C6" s="9" t="s">
        <v>21</v>
      </c>
      <c r="D6" s="10" t="s">
        <v>24</v>
      </c>
      <c r="E6" s="12">
        <v>4.0</v>
      </c>
      <c r="F6" s="12">
        <v>4.0</v>
      </c>
      <c r="G6" s="13" t="s">
        <v>27</v>
      </c>
    </row>
    <row r="7">
      <c r="B7" s="8" t="s">
        <v>30</v>
      </c>
      <c r="C7" s="9" t="s">
        <v>33</v>
      </c>
      <c r="D7" s="10" t="s">
        <v>36</v>
      </c>
      <c r="E7" s="12">
        <v>5.0</v>
      </c>
      <c r="F7" s="12">
        <v>5.0</v>
      </c>
      <c r="G7" s="13" t="s">
        <v>39</v>
      </c>
    </row>
    <row r="8">
      <c r="G8" s="16"/>
    </row>
    <row r="9">
      <c r="G9" s="16"/>
    </row>
    <row r="10">
      <c r="G10" s="16"/>
    </row>
    <row r="11">
      <c r="G11" s="16"/>
    </row>
    <row r="12">
      <c r="G1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39.0"/>
    <col customWidth="1" min="4" max="4" width="50.0"/>
    <col customWidth="1" min="5" max="5" width="13.0"/>
    <col customWidth="1" min="6" max="6" width="21.0"/>
    <col customWidth="1" min="7" max="7" width="26.0"/>
    <col customWidth="1" min="8" max="8" width="8.71"/>
  </cols>
  <sheetData>
    <row r="2">
      <c r="B2" s="2" t="s">
        <v>59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64</v>
      </c>
      <c r="C6" s="9" t="s">
        <v>65</v>
      </c>
      <c r="D6" s="10" t="s">
        <v>66</v>
      </c>
      <c r="E6" s="12">
        <v>4.0</v>
      </c>
      <c r="F6" s="12">
        <v>4.0</v>
      </c>
      <c r="G6" s="13" t="s">
        <v>68</v>
      </c>
      <c r="H6" s="16"/>
    </row>
    <row r="7">
      <c r="B7" s="8" t="s">
        <v>72</v>
      </c>
      <c r="C7" s="9" t="s">
        <v>73</v>
      </c>
      <c r="D7" s="10" t="s">
        <v>74</v>
      </c>
      <c r="E7" s="12">
        <v>5.0</v>
      </c>
      <c r="F7" s="12">
        <v>5.0</v>
      </c>
      <c r="G7" s="13" t="s">
        <v>76</v>
      </c>
      <c r="H7" s="16"/>
    </row>
    <row r="8">
      <c r="B8" s="8" t="s">
        <v>79</v>
      </c>
      <c r="C8" s="9" t="s">
        <v>81</v>
      </c>
      <c r="D8" s="10" t="s">
        <v>82</v>
      </c>
      <c r="E8" s="12">
        <v>2.0</v>
      </c>
      <c r="F8" s="12">
        <v>2.0</v>
      </c>
      <c r="G8" s="13" t="s">
        <v>85</v>
      </c>
      <c r="H8" s="16"/>
    </row>
    <row r="9">
      <c r="B9" s="8" t="s">
        <v>86</v>
      </c>
      <c r="C9" s="9" t="s">
        <v>88</v>
      </c>
      <c r="D9" s="10" t="s">
        <v>89</v>
      </c>
      <c r="E9" s="12">
        <v>4.0</v>
      </c>
      <c r="F9" s="12">
        <v>4.0</v>
      </c>
      <c r="G9" s="13" t="s">
        <v>93</v>
      </c>
      <c r="H9" s="16"/>
    </row>
    <row r="10">
      <c r="B10" s="8" t="s">
        <v>95</v>
      </c>
      <c r="C10" s="9" t="s">
        <v>96</v>
      </c>
      <c r="D10" s="10" t="s">
        <v>98</v>
      </c>
      <c r="E10" s="12">
        <v>4.0</v>
      </c>
      <c r="F10" s="12">
        <v>4.0</v>
      </c>
      <c r="G10" s="13" t="s">
        <v>100</v>
      </c>
      <c r="H10" s="16"/>
    </row>
    <row r="11">
      <c r="B11" s="8" t="s">
        <v>102</v>
      </c>
      <c r="C11" s="9" t="s">
        <v>104</v>
      </c>
      <c r="D11" s="10" t="s">
        <v>105</v>
      </c>
      <c r="E11" s="12">
        <v>3.0</v>
      </c>
      <c r="F11" s="20">
        <v>1.0</v>
      </c>
      <c r="G11" s="13" t="s">
        <v>110</v>
      </c>
      <c r="H11" s="16"/>
    </row>
    <row r="12">
      <c r="G12" s="16"/>
      <c r="H12" s="16"/>
    </row>
    <row r="13">
      <c r="G13" s="16"/>
      <c r="H13" s="16"/>
    </row>
    <row r="14">
      <c r="G14" s="16"/>
      <c r="H14" s="16"/>
    </row>
    <row r="15">
      <c r="G15" s="16"/>
      <c r="H15" s="16"/>
    </row>
    <row r="16">
      <c r="G16" s="16"/>
      <c r="H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8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58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61</v>
      </c>
      <c r="C6" s="9" t="s">
        <v>62</v>
      </c>
      <c r="D6" s="10" t="s">
        <v>63</v>
      </c>
      <c r="E6" s="12">
        <v>5.0</v>
      </c>
      <c r="F6" s="12">
        <v>3.0</v>
      </c>
      <c r="G6" s="13" t="s">
        <v>67</v>
      </c>
    </row>
    <row r="7">
      <c r="B7" s="8" t="s">
        <v>69</v>
      </c>
      <c r="C7" s="9" t="s">
        <v>70</v>
      </c>
      <c r="D7" s="10" t="s">
        <v>71</v>
      </c>
      <c r="E7" s="12">
        <v>3.0</v>
      </c>
      <c r="F7" s="12">
        <v>2.0</v>
      </c>
      <c r="G7" s="13" t="s">
        <v>75</v>
      </c>
    </row>
    <row r="8">
      <c r="B8" s="8" t="s">
        <v>77</v>
      </c>
      <c r="C8" s="9" t="s">
        <v>78</v>
      </c>
      <c r="D8" s="10" t="s">
        <v>80</v>
      </c>
      <c r="E8" s="12">
        <v>3.0</v>
      </c>
      <c r="F8" s="12">
        <v>1.0</v>
      </c>
      <c r="G8" s="13" t="s">
        <v>83</v>
      </c>
    </row>
    <row r="9">
      <c r="B9" s="8" t="s">
        <v>90</v>
      </c>
      <c r="C9" s="9" t="s">
        <v>92</v>
      </c>
      <c r="D9" s="10" t="s">
        <v>94</v>
      </c>
      <c r="E9" s="12">
        <v>5.0</v>
      </c>
      <c r="F9" s="12">
        <v>5.0</v>
      </c>
      <c r="G9" s="13" t="s">
        <v>97</v>
      </c>
    </row>
    <row r="10">
      <c r="G10" s="16"/>
    </row>
    <row r="11">
      <c r="G11" s="16"/>
    </row>
    <row r="12">
      <c r="G12" s="16"/>
    </row>
    <row r="13">
      <c r="G13" s="16"/>
    </row>
    <row r="14">
      <c r="G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60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84</v>
      </c>
      <c r="C6" s="9" t="s">
        <v>87</v>
      </c>
      <c r="D6" s="10" t="s">
        <v>91</v>
      </c>
      <c r="E6" s="12">
        <v>5.0</v>
      </c>
      <c r="F6" s="12">
        <v>5.0</v>
      </c>
      <c r="G6" s="13" t="s">
        <v>99</v>
      </c>
    </row>
    <row r="7">
      <c r="B7" s="8" t="s">
        <v>101</v>
      </c>
      <c r="C7" s="9" t="s">
        <v>103</v>
      </c>
      <c r="D7" s="10" t="s">
        <v>106</v>
      </c>
      <c r="E7" s="12">
        <v>5.0</v>
      </c>
      <c r="F7" s="12">
        <v>4.0</v>
      </c>
      <c r="G7" s="13" t="s">
        <v>107</v>
      </c>
    </row>
    <row r="8">
      <c r="B8" s="8" t="s">
        <v>108</v>
      </c>
      <c r="C8" s="9" t="s">
        <v>109</v>
      </c>
      <c r="D8" s="10" t="s">
        <v>111</v>
      </c>
      <c r="E8" s="12">
        <v>4.0</v>
      </c>
      <c r="F8" s="12">
        <v>4.0</v>
      </c>
      <c r="G8" s="13" t="s">
        <v>112</v>
      </c>
    </row>
    <row r="9">
      <c r="B9" s="8" t="s">
        <v>113</v>
      </c>
      <c r="C9" s="9" t="s">
        <v>114</v>
      </c>
      <c r="D9" s="10" t="s">
        <v>115</v>
      </c>
      <c r="E9" s="12">
        <v>4.0</v>
      </c>
      <c r="F9" s="12">
        <v>4.0</v>
      </c>
      <c r="G9" s="13" t="s">
        <v>116</v>
      </c>
    </row>
    <row r="10">
      <c r="B10" s="8" t="s">
        <v>117</v>
      </c>
      <c r="C10" s="9" t="s">
        <v>118</v>
      </c>
      <c r="D10" s="10" t="s">
        <v>119</v>
      </c>
      <c r="E10" s="12">
        <v>5.0</v>
      </c>
      <c r="F10" s="12">
        <v>5.0</v>
      </c>
      <c r="G10" s="13" t="s">
        <v>120</v>
      </c>
    </row>
    <row r="11">
      <c r="G11" s="16"/>
    </row>
    <row r="12">
      <c r="G12" s="16"/>
    </row>
    <row r="13">
      <c r="G1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2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121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122</v>
      </c>
      <c r="C6" s="9" t="s">
        <v>123</v>
      </c>
      <c r="D6" s="10" t="s">
        <v>124</v>
      </c>
      <c r="E6" s="12">
        <v>5.0</v>
      </c>
      <c r="F6" s="12">
        <v>5.0</v>
      </c>
      <c r="G6" s="13" t="s">
        <v>125</v>
      </c>
    </row>
    <row r="7">
      <c r="B7" s="8" t="s">
        <v>126</v>
      </c>
      <c r="C7" s="9" t="s">
        <v>127</v>
      </c>
      <c r="D7" s="10" t="s">
        <v>128</v>
      </c>
      <c r="E7" s="12">
        <v>4.0</v>
      </c>
      <c r="F7" s="12">
        <v>4.0</v>
      </c>
      <c r="G7" s="13" t="s">
        <v>129</v>
      </c>
    </row>
    <row r="8">
      <c r="B8" s="8" t="s">
        <v>130</v>
      </c>
      <c r="C8" s="9" t="s">
        <v>131</v>
      </c>
      <c r="D8" s="10" t="s">
        <v>132</v>
      </c>
      <c r="E8" s="12">
        <v>4.0</v>
      </c>
      <c r="F8" s="12">
        <v>3.0</v>
      </c>
      <c r="G8" s="13" t="s">
        <v>133</v>
      </c>
    </row>
    <row r="9">
      <c r="B9" s="8" t="s">
        <v>134</v>
      </c>
      <c r="C9" s="9" t="s">
        <v>135</v>
      </c>
      <c r="D9" s="10" t="s">
        <v>136</v>
      </c>
      <c r="E9" s="12">
        <v>4.0</v>
      </c>
      <c r="F9" s="12">
        <v>4.0</v>
      </c>
      <c r="G9" s="13" t="s">
        <v>137</v>
      </c>
    </row>
    <row r="10">
      <c r="B10" s="8" t="s">
        <v>138</v>
      </c>
      <c r="C10" s="9" t="s">
        <v>139</v>
      </c>
      <c r="D10" s="10" t="s">
        <v>140</v>
      </c>
      <c r="E10" s="12">
        <v>5.0</v>
      </c>
      <c r="F10" s="12">
        <v>3.0</v>
      </c>
      <c r="G10" s="13" t="s">
        <v>141</v>
      </c>
    </row>
    <row r="11">
      <c r="G11" s="16"/>
    </row>
    <row r="12">
      <c r="G12" s="16"/>
    </row>
    <row r="13">
      <c r="G13" s="16"/>
    </row>
    <row r="14">
      <c r="G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7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2" t="s">
        <v>142</v>
      </c>
    </row>
    <row r="3">
      <c r="B3" s="4" t="s">
        <v>6</v>
      </c>
    </row>
    <row r="5"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>
      <c r="B6" s="8" t="s">
        <v>148</v>
      </c>
      <c r="C6" s="9" t="s">
        <v>150</v>
      </c>
      <c r="D6" s="10" t="s">
        <v>151</v>
      </c>
      <c r="E6" s="12">
        <v>4.0</v>
      </c>
      <c r="F6" s="12">
        <v>4.0</v>
      </c>
      <c r="G6" s="13" t="s">
        <v>153</v>
      </c>
    </row>
    <row r="7">
      <c r="B7" s="8" t="s">
        <v>154</v>
      </c>
      <c r="C7" s="9" t="s">
        <v>155</v>
      </c>
      <c r="D7" s="10" t="s">
        <v>156</v>
      </c>
      <c r="E7" s="12">
        <v>3.0</v>
      </c>
      <c r="F7" s="12">
        <v>1.0</v>
      </c>
      <c r="G7" s="13" t="s">
        <v>158</v>
      </c>
    </row>
    <row r="8">
      <c r="B8" s="8" t="s">
        <v>159</v>
      </c>
      <c r="C8" s="9" t="s">
        <v>160</v>
      </c>
      <c r="D8" s="10" t="s">
        <v>161</v>
      </c>
      <c r="E8" s="12">
        <v>2.0</v>
      </c>
      <c r="F8" s="12">
        <v>0.0</v>
      </c>
      <c r="G8" s="13" t="s">
        <v>163</v>
      </c>
    </row>
    <row r="9">
      <c r="G9" s="16"/>
    </row>
    <row r="10">
      <c r="G10" s="16"/>
    </row>
    <row r="11">
      <c r="G11" s="16"/>
    </row>
    <row r="12">
      <c r="G1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60.0"/>
    <col customWidth="1" min="4" max="4" width="29.0"/>
    <col customWidth="1" min="5" max="5" width="40.0"/>
    <col customWidth="1" min="6" max="6" width="8.71"/>
  </cols>
  <sheetData>
    <row r="2">
      <c r="B2" s="2" t="s">
        <v>143</v>
      </c>
    </row>
    <row r="3">
      <c r="B3" s="3" t="s">
        <v>144</v>
      </c>
    </row>
    <row r="5">
      <c r="B5" s="6" t="s">
        <v>145</v>
      </c>
      <c r="C5" s="6" t="s">
        <v>146</v>
      </c>
      <c r="D5" s="6" t="s">
        <v>147</v>
      </c>
      <c r="E5" s="6" t="s">
        <v>149</v>
      </c>
    </row>
    <row r="6">
      <c r="B6" s="14">
        <v>1.0</v>
      </c>
      <c r="C6" s="8" t="s">
        <v>152</v>
      </c>
      <c r="D6" s="9" t="s">
        <v>12</v>
      </c>
      <c r="E6" s="8" t="s">
        <v>22</v>
      </c>
    </row>
    <row r="7">
      <c r="B7" s="14">
        <v>2.0</v>
      </c>
      <c r="C7" s="8" t="s">
        <v>157</v>
      </c>
      <c r="D7" s="9" t="s">
        <v>12</v>
      </c>
      <c r="E7" s="8" t="s">
        <v>35</v>
      </c>
    </row>
    <row r="8">
      <c r="B8" s="14">
        <v>3.0</v>
      </c>
      <c r="C8" s="8" t="s">
        <v>162</v>
      </c>
      <c r="D8" s="9" t="s">
        <v>12</v>
      </c>
      <c r="E8" s="8" t="s">
        <v>46</v>
      </c>
    </row>
    <row r="9">
      <c r="B9" s="14">
        <v>4.0</v>
      </c>
      <c r="C9" s="8" t="s">
        <v>164</v>
      </c>
      <c r="D9" s="9" t="s">
        <v>50</v>
      </c>
      <c r="E9" s="8" t="s">
        <v>23</v>
      </c>
    </row>
    <row r="10">
      <c r="B10" s="14">
        <v>5.0</v>
      </c>
      <c r="C10" s="8" t="s">
        <v>165</v>
      </c>
      <c r="D10" s="9" t="s">
        <v>50</v>
      </c>
      <c r="E10" s="8" t="s">
        <v>34</v>
      </c>
    </row>
    <row r="11">
      <c r="B11" s="14">
        <v>6.0</v>
      </c>
      <c r="C11" s="8" t="s">
        <v>166</v>
      </c>
      <c r="D11" s="9" t="s">
        <v>50</v>
      </c>
      <c r="E11" s="8" t="s">
        <v>43</v>
      </c>
    </row>
    <row r="12">
      <c r="B12" s="14">
        <v>7.0</v>
      </c>
      <c r="C12" s="8" t="s">
        <v>167</v>
      </c>
      <c r="D12" s="9" t="s">
        <v>51</v>
      </c>
      <c r="E12" s="8" t="s">
        <v>21</v>
      </c>
    </row>
    <row r="13">
      <c r="B13" s="14">
        <v>8.0</v>
      </c>
      <c r="C13" s="8" t="s">
        <v>168</v>
      </c>
      <c r="D13" s="9" t="s">
        <v>51</v>
      </c>
      <c r="E13" s="8" t="s">
        <v>33</v>
      </c>
    </row>
    <row r="14">
      <c r="B14" s="14">
        <v>9.0</v>
      </c>
      <c r="C14" s="8" t="s">
        <v>169</v>
      </c>
      <c r="D14" s="9" t="s">
        <v>52</v>
      </c>
      <c r="E14" s="8" t="s">
        <v>65</v>
      </c>
    </row>
    <row r="15">
      <c r="B15" s="14">
        <v>10.0</v>
      </c>
      <c r="C15" s="8" t="s">
        <v>170</v>
      </c>
      <c r="D15" s="9" t="s">
        <v>52</v>
      </c>
      <c r="E15" s="8" t="s">
        <v>73</v>
      </c>
    </row>
    <row r="16">
      <c r="B16" s="14">
        <v>11.0</v>
      </c>
      <c r="C16" s="8" t="s">
        <v>171</v>
      </c>
      <c r="D16" s="9" t="s">
        <v>52</v>
      </c>
      <c r="E16" s="8" t="s">
        <v>81</v>
      </c>
    </row>
    <row r="17">
      <c r="B17" s="14">
        <v>12.0</v>
      </c>
      <c r="C17" s="8" t="s">
        <v>172</v>
      </c>
      <c r="D17" s="9" t="s">
        <v>52</v>
      </c>
      <c r="E17" s="8" t="s">
        <v>88</v>
      </c>
    </row>
    <row r="18">
      <c r="B18" s="14">
        <v>13.0</v>
      </c>
      <c r="C18" s="8" t="s">
        <v>173</v>
      </c>
      <c r="D18" s="9" t="s">
        <v>52</v>
      </c>
      <c r="E18" s="8" t="s">
        <v>96</v>
      </c>
    </row>
    <row r="19">
      <c r="B19" s="14">
        <v>14.0</v>
      </c>
      <c r="C19" s="8" t="s">
        <v>174</v>
      </c>
      <c r="D19" s="9" t="s">
        <v>52</v>
      </c>
      <c r="E19" s="8" t="s">
        <v>104</v>
      </c>
    </row>
    <row r="20">
      <c r="B20" s="14">
        <v>15.0</v>
      </c>
      <c r="C20" s="8" t="s">
        <v>175</v>
      </c>
      <c r="D20" s="9" t="s">
        <v>53</v>
      </c>
      <c r="E20" s="8" t="s">
        <v>62</v>
      </c>
    </row>
    <row r="21" ht="15.75" customHeight="1">
      <c r="B21" s="14">
        <v>16.0</v>
      </c>
      <c r="C21" s="8" t="s">
        <v>176</v>
      </c>
      <c r="D21" s="9" t="s">
        <v>53</v>
      </c>
      <c r="E21" s="8" t="s">
        <v>70</v>
      </c>
    </row>
    <row r="22" ht="15.75" customHeight="1">
      <c r="B22" s="14">
        <v>17.0</v>
      </c>
      <c r="C22" s="8" t="s">
        <v>177</v>
      </c>
      <c r="D22" s="9" t="s">
        <v>53</v>
      </c>
      <c r="E22" s="8" t="s">
        <v>78</v>
      </c>
    </row>
    <row r="23" ht="15.75" customHeight="1">
      <c r="B23" s="14">
        <v>18.0</v>
      </c>
      <c r="C23" s="8" t="s">
        <v>178</v>
      </c>
      <c r="D23" s="9" t="s">
        <v>53</v>
      </c>
      <c r="E23" s="8" t="s">
        <v>92</v>
      </c>
    </row>
    <row r="24" ht="15.75" customHeight="1">
      <c r="B24" s="14">
        <v>19.0</v>
      </c>
      <c r="C24" s="8" t="s">
        <v>179</v>
      </c>
      <c r="D24" s="9" t="s">
        <v>54</v>
      </c>
      <c r="E24" s="8" t="s">
        <v>87</v>
      </c>
    </row>
    <row r="25" ht="15.75" customHeight="1">
      <c r="B25" s="14">
        <v>20.0</v>
      </c>
      <c r="C25" s="8" t="s">
        <v>180</v>
      </c>
      <c r="D25" s="9" t="s">
        <v>54</v>
      </c>
      <c r="E25" s="8" t="s">
        <v>103</v>
      </c>
    </row>
    <row r="26" ht="15.75" customHeight="1">
      <c r="B26" s="14">
        <v>21.0</v>
      </c>
      <c r="C26" s="8" t="s">
        <v>181</v>
      </c>
      <c r="D26" s="9" t="s">
        <v>54</v>
      </c>
      <c r="E26" s="8" t="s">
        <v>109</v>
      </c>
    </row>
    <row r="27" ht="15.75" customHeight="1">
      <c r="B27" s="14">
        <v>22.0</v>
      </c>
      <c r="C27" s="8" t="s">
        <v>182</v>
      </c>
      <c r="D27" s="9" t="s">
        <v>54</v>
      </c>
      <c r="E27" s="8" t="s">
        <v>114</v>
      </c>
    </row>
    <row r="28" ht="15.75" customHeight="1">
      <c r="B28" s="14">
        <v>23.0</v>
      </c>
      <c r="C28" s="8" t="s">
        <v>183</v>
      </c>
      <c r="D28" s="9" t="s">
        <v>54</v>
      </c>
      <c r="E28" s="8" t="s">
        <v>118</v>
      </c>
    </row>
    <row r="29" ht="15.75" customHeight="1">
      <c r="B29" s="14">
        <v>24.0</v>
      </c>
      <c r="C29" s="8" t="s">
        <v>184</v>
      </c>
      <c r="D29" s="9" t="s">
        <v>55</v>
      </c>
      <c r="E29" s="8" t="s">
        <v>123</v>
      </c>
    </row>
    <row r="30" ht="15.75" customHeight="1">
      <c r="B30" s="14">
        <v>25.0</v>
      </c>
      <c r="C30" s="8" t="s">
        <v>185</v>
      </c>
      <c r="D30" s="9" t="s">
        <v>55</v>
      </c>
      <c r="E30" s="8" t="s">
        <v>127</v>
      </c>
    </row>
    <row r="31" ht="15.75" customHeight="1">
      <c r="B31" s="14">
        <v>26.0</v>
      </c>
      <c r="C31" s="8" t="s">
        <v>186</v>
      </c>
      <c r="D31" s="9" t="s">
        <v>55</v>
      </c>
      <c r="E31" s="8" t="s">
        <v>131</v>
      </c>
    </row>
    <row r="32" ht="15.75" customHeight="1">
      <c r="B32" s="14">
        <v>27.0</v>
      </c>
      <c r="C32" s="8" t="s">
        <v>187</v>
      </c>
      <c r="D32" s="9" t="s">
        <v>55</v>
      </c>
      <c r="E32" s="8" t="s">
        <v>135</v>
      </c>
    </row>
    <row r="33" ht="15.75" customHeight="1">
      <c r="B33" s="14">
        <v>28.0</v>
      </c>
      <c r="C33" s="8" t="s">
        <v>188</v>
      </c>
      <c r="D33" s="9" t="s">
        <v>55</v>
      </c>
      <c r="E33" s="8" t="s">
        <v>139</v>
      </c>
    </row>
    <row r="34" ht="15.75" customHeight="1">
      <c r="B34" s="14">
        <v>29.0</v>
      </c>
      <c r="C34" s="8" t="s">
        <v>189</v>
      </c>
      <c r="D34" s="9" t="s">
        <v>56</v>
      </c>
      <c r="E34" s="8" t="s">
        <v>150</v>
      </c>
    </row>
    <row r="35" ht="15.75" customHeight="1">
      <c r="B35" s="14">
        <v>30.0</v>
      </c>
      <c r="C35" s="8" t="s">
        <v>190</v>
      </c>
      <c r="D35" s="9" t="s">
        <v>56</v>
      </c>
      <c r="E35" s="8" t="s">
        <v>155</v>
      </c>
    </row>
    <row r="36" ht="15.75" customHeight="1">
      <c r="B36" s="14">
        <v>31.0</v>
      </c>
      <c r="C36" s="8" t="s">
        <v>191</v>
      </c>
      <c r="D36" s="9" t="s">
        <v>56</v>
      </c>
      <c r="E36" s="8" t="s">
        <v>160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2026-07-29T16:11:02Z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